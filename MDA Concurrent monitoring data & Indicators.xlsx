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asrivastava_who_int/Documents/Desktop/NTD Desktop/NTD MDA/MDA Feb 2026/CS Pro data/16.03.26 Final/Concurrent Analysis/"/>
    </mc:Choice>
  </mc:AlternateContent>
  <xr:revisionPtr revIDLastSave="1333" documentId="8_{47E2A1B9-9161-4BA7-A2BF-0C1BE7BE9526}" xr6:coauthVersionLast="47" xr6:coauthVersionMax="47" xr10:uidLastSave="{1908774D-1E76-4E87-BBB5-C6AE03D98447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Sheet1!$A$6:$CS$92</definedName>
    <definedName name="_xlnm._FilterDatabase" localSheetId="1" hidden="1">Sheet2!$B$3:$C$16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92" i="1" s="1"/>
  <c r="F78" i="1"/>
  <c r="F92" i="1" s="1"/>
  <c r="G78" i="1"/>
  <c r="G92" i="1" s="1"/>
  <c r="H78" i="1"/>
  <c r="H92" i="1" s="1"/>
  <c r="I78" i="1"/>
  <c r="J78" i="1"/>
  <c r="J92" i="1" s="1"/>
  <c r="K78" i="1"/>
  <c r="K92" i="1" s="1"/>
  <c r="L78" i="1"/>
  <c r="L92" i="1" s="1"/>
  <c r="M78" i="1"/>
  <c r="M92" i="1" s="1"/>
  <c r="N78" i="1"/>
  <c r="N92" i="1" s="1"/>
  <c r="O78" i="1"/>
  <c r="O92" i="1" s="1"/>
  <c r="P78" i="1"/>
  <c r="P92" i="1" s="1"/>
  <c r="Q78" i="1"/>
  <c r="R78" i="1"/>
  <c r="S78" i="1"/>
  <c r="T78" i="1"/>
  <c r="T92" i="1" s="1"/>
  <c r="U78" i="1"/>
  <c r="V78" i="1"/>
  <c r="V92" i="1" s="1"/>
  <c r="W78" i="1"/>
  <c r="W92" i="1" s="1"/>
  <c r="X78" i="1"/>
  <c r="X92" i="1" s="1"/>
  <c r="Y78" i="1"/>
  <c r="Z78" i="1"/>
  <c r="AA78" i="1"/>
  <c r="AA92" i="1" s="1"/>
  <c r="AB78" i="1"/>
  <c r="AB92" i="1" s="1"/>
  <c r="AC78" i="1"/>
  <c r="AC92" i="1" s="1"/>
  <c r="AD78" i="1"/>
  <c r="AD92" i="1" s="1"/>
  <c r="AE78" i="1"/>
  <c r="AE92" i="1" s="1"/>
  <c r="AF78" i="1"/>
  <c r="AF92" i="1" s="1"/>
  <c r="AG78" i="1"/>
  <c r="AH78" i="1"/>
  <c r="AI78" i="1"/>
  <c r="AJ78" i="1"/>
  <c r="AJ92" i="1" s="1"/>
  <c r="AK78" i="1"/>
  <c r="AL78" i="1"/>
  <c r="AL92" i="1" s="1"/>
  <c r="AM78" i="1"/>
  <c r="AM92" i="1" s="1"/>
  <c r="AN78" i="1"/>
  <c r="AN92" i="1" s="1"/>
  <c r="AO78" i="1"/>
  <c r="AP78" i="1"/>
  <c r="AQ78" i="1"/>
  <c r="AR78" i="1"/>
  <c r="AR92" i="1" s="1"/>
  <c r="AS78" i="1"/>
  <c r="AS92" i="1" s="1"/>
  <c r="AT78" i="1"/>
  <c r="AT92" i="1" s="1"/>
  <c r="AU78" i="1"/>
  <c r="AU92" i="1" s="1"/>
  <c r="AV78" i="1"/>
  <c r="AV92" i="1" s="1"/>
  <c r="AW78" i="1"/>
  <c r="AX78" i="1"/>
  <c r="AY78" i="1"/>
  <c r="AZ78" i="1"/>
  <c r="AZ92" i="1" s="1"/>
  <c r="BA78" i="1"/>
  <c r="BA92" i="1" s="1"/>
  <c r="BB78" i="1"/>
  <c r="BB92" i="1" s="1"/>
  <c r="D78" i="1"/>
  <c r="D92" i="1" s="1"/>
  <c r="I92" i="1"/>
  <c r="Q92" i="1"/>
  <c r="R92" i="1"/>
  <c r="S92" i="1"/>
  <c r="U92" i="1"/>
  <c r="Y92" i="1"/>
  <c r="Z92" i="1"/>
  <c r="AG92" i="1"/>
  <c r="AH92" i="1"/>
  <c r="AI92" i="1"/>
  <c r="AK92" i="1"/>
  <c r="AO92" i="1"/>
  <c r="AP92" i="1"/>
  <c r="AQ92" i="1"/>
  <c r="AW92" i="1"/>
  <c r="AX92" i="1"/>
  <c r="AY92" i="1"/>
  <c r="BG92" i="1" l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N92" i="1"/>
  <c r="CO92" i="1"/>
  <c r="CP92" i="1"/>
  <c r="CQ92" i="1"/>
  <c r="CR92" i="1"/>
  <c r="CS92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N88" i="1"/>
  <c r="CO88" i="1"/>
  <c r="CP88" i="1"/>
  <c r="CQ88" i="1"/>
  <c r="CR88" i="1"/>
  <c r="CS88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N89" i="1"/>
  <c r="CO89" i="1"/>
  <c r="CP89" i="1"/>
  <c r="CQ89" i="1"/>
  <c r="CR89" i="1"/>
  <c r="CS89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N90" i="1"/>
  <c r="CO90" i="1"/>
  <c r="CP90" i="1"/>
  <c r="CQ90" i="1"/>
  <c r="CR90" i="1"/>
  <c r="CS90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N91" i="1"/>
  <c r="CO91" i="1"/>
  <c r="CP91" i="1"/>
  <c r="CQ91" i="1"/>
  <c r="CR91" i="1"/>
  <c r="CS91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N86" i="1"/>
  <c r="CO86" i="1"/>
  <c r="CP86" i="1"/>
  <c r="CQ86" i="1"/>
  <c r="CR86" i="1"/>
  <c r="CS86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N87" i="1"/>
  <c r="CO87" i="1"/>
  <c r="CP87" i="1"/>
  <c r="CQ87" i="1"/>
  <c r="CR87" i="1"/>
  <c r="CS87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N85" i="1"/>
  <c r="CO85" i="1"/>
  <c r="CP85" i="1"/>
  <c r="CQ85" i="1"/>
  <c r="CR85" i="1"/>
  <c r="CS85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N74" i="1"/>
  <c r="CO74" i="1"/>
  <c r="CP74" i="1"/>
  <c r="CQ74" i="1"/>
  <c r="CR74" i="1"/>
  <c r="CS74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N75" i="1"/>
  <c r="CO75" i="1"/>
  <c r="CP75" i="1"/>
  <c r="CQ75" i="1"/>
  <c r="CR75" i="1"/>
  <c r="CS75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N76" i="1"/>
  <c r="CO76" i="1"/>
  <c r="CP76" i="1"/>
  <c r="CQ76" i="1"/>
  <c r="CR76" i="1"/>
  <c r="CS76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N77" i="1"/>
  <c r="CO77" i="1"/>
  <c r="CP77" i="1"/>
  <c r="CQ77" i="1"/>
  <c r="CR77" i="1"/>
  <c r="CS77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N78" i="1"/>
  <c r="CO78" i="1"/>
  <c r="CP78" i="1"/>
  <c r="CQ78" i="1"/>
  <c r="CR78" i="1"/>
  <c r="CS78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N79" i="1"/>
  <c r="CO79" i="1"/>
  <c r="CP79" i="1"/>
  <c r="CQ79" i="1"/>
  <c r="CR79" i="1"/>
  <c r="CS79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N80" i="1"/>
  <c r="CO80" i="1"/>
  <c r="CP80" i="1"/>
  <c r="CQ80" i="1"/>
  <c r="CR80" i="1"/>
  <c r="CS80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N81" i="1"/>
  <c r="CO81" i="1"/>
  <c r="CP81" i="1"/>
  <c r="CQ81" i="1"/>
  <c r="CR81" i="1"/>
  <c r="CS81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N82" i="1"/>
  <c r="CO82" i="1"/>
  <c r="CP82" i="1"/>
  <c r="CQ82" i="1"/>
  <c r="CR82" i="1"/>
  <c r="CS82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N83" i="1"/>
  <c r="CO83" i="1"/>
  <c r="CP83" i="1"/>
  <c r="CQ83" i="1"/>
  <c r="CR83" i="1"/>
  <c r="CS83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N84" i="1"/>
  <c r="CO84" i="1"/>
  <c r="CP84" i="1"/>
  <c r="CQ84" i="1"/>
  <c r="CR84" i="1"/>
  <c r="CS84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N68" i="1"/>
  <c r="CO68" i="1"/>
  <c r="CP68" i="1"/>
  <c r="CQ68" i="1"/>
  <c r="CR68" i="1"/>
  <c r="CS68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N69" i="1"/>
  <c r="CO69" i="1"/>
  <c r="CP69" i="1"/>
  <c r="CQ69" i="1"/>
  <c r="CR69" i="1"/>
  <c r="CS69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N70" i="1"/>
  <c r="CO70" i="1"/>
  <c r="CP70" i="1"/>
  <c r="CQ70" i="1"/>
  <c r="CR70" i="1"/>
  <c r="CS70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N71" i="1"/>
  <c r="CO71" i="1"/>
  <c r="CP71" i="1"/>
  <c r="CQ71" i="1"/>
  <c r="CR71" i="1"/>
  <c r="CS71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N72" i="1"/>
  <c r="CO72" i="1"/>
  <c r="CP72" i="1"/>
  <c r="CQ72" i="1"/>
  <c r="CR72" i="1"/>
  <c r="CS72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N73" i="1"/>
  <c r="CO73" i="1"/>
  <c r="CP73" i="1"/>
  <c r="CQ73" i="1"/>
  <c r="CR73" i="1"/>
  <c r="CS73" i="1"/>
  <c r="CG67" i="1"/>
  <c r="CG66" i="1"/>
  <c r="CG65" i="1"/>
  <c r="CG64" i="1"/>
  <c r="CG63" i="1"/>
  <c r="CG62" i="1"/>
  <c r="CG61" i="1"/>
  <c r="CG60" i="1"/>
  <c r="CG59" i="1"/>
  <c r="CG58" i="1"/>
  <c r="CG57" i="1"/>
  <c r="CG56" i="1"/>
  <c r="CG55" i="1"/>
  <c r="CG54" i="1"/>
  <c r="CG53" i="1"/>
  <c r="CG52" i="1"/>
  <c r="CG51" i="1"/>
  <c r="CG50" i="1"/>
  <c r="CG49" i="1"/>
  <c r="CG48" i="1"/>
  <c r="CG47" i="1"/>
  <c r="CG46" i="1"/>
  <c r="CG45" i="1"/>
  <c r="CG44" i="1"/>
  <c r="CG43" i="1"/>
  <c r="CG42" i="1"/>
  <c r="CG41" i="1"/>
  <c r="CG40" i="1"/>
  <c r="CG39" i="1"/>
  <c r="CG38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G67" i="1" l="1"/>
  <c r="BH67" i="1"/>
  <c r="BI67" i="1"/>
  <c r="BJ67" i="1"/>
  <c r="BK67" i="1"/>
  <c r="BL67" i="1"/>
  <c r="BM67" i="1"/>
  <c r="BN67" i="1"/>
  <c r="BO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H67" i="1"/>
  <c r="CI67" i="1"/>
  <c r="CJ67" i="1"/>
  <c r="CK67" i="1"/>
  <c r="CL67" i="1"/>
  <c r="CN67" i="1"/>
  <c r="CO67" i="1"/>
  <c r="CP67" i="1"/>
  <c r="CQ67" i="1"/>
  <c r="CR67" i="1"/>
  <c r="CS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X7" i="1"/>
  <c r="BS56" i="1" l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G58" i="1" l="1"/>
  <c r="BH58" i="1"/>
  <c r="BI58" i="1"/>
  <c r="BJ58" i="1"/>
  <c r="BK58" i="1"/>
  <c r="BL58" i="1"/>
  <c r="BM58" i="1"/>
  <c r="BN58" i="1"/>
  <c r="BO58" i="1"/>
  <c r="BQ58" i="1"/>
  <c r="BR58" i="1"/>
  <c r="BS58" i="1"/>
  <c r="BT58" i="1"/>
  <c r="BU58" i="1"/>
  <c r="BV58" i="1"/>
  <c r="BY58" i="1"/>
  <c r="BZ58" i="1"/>
  <c r="CA58" i="1"/>
  <c r="CB58" i="1"/>
  <c r="CC58" i="1"/>
  <c r="CD58" i="1"/>
  <c r="CE58" i="1"/>
  <c r="CF58" i="1"/>
  <c r="CH58" i="1"/>
  <c r="CI58" i="1"/>
  <c r="CJ58" i="1"/>
  <c r="CK58" i="1"/>
  <c r="CL58" i="1"/>
  <c r="CN58" i="1"/>
  <c r="CO58" i="1"/>
  <c r="CP58" i="1"/>
  <c r="CQ58" i="1"/>
  <c r="CR58" i="1"/>
  <c r="CS58" i="1"/>
  <c r="BG59" i="1"/>
  <c r="BH59" i="1"/>
  <c r="BI59" i="1"/>
  <c r="BJ59" i="1"/>
  <c r="BK59" i="1"/>
  <c r="BL59" i="1"/>
  <c r="BM59" i="1"/>
  <c r="BN59" i="1"/>
  <c r="BO59" i="1"/>
  <c r="BQ59" i="1"/>
  <c r="BR59" i="1"/>
  <c r="BS59" i="1"/>
  <c r="BT59" i="1"/>
  <c r="BU59" i="1"/>
  <c r="BV59" i="1"/>
  <c r="BY59" i="1"/>
  <c r="BZ59" i="1"/>
  <c r="CA59" i="1"/>
  <c r="CB59" i="1"/>
  <c r="CC59" i="1"/>
  <c r="CD59" i="1"/>
  <c r="CE59" i="1"/>
  <c r="CF59" i="1"/>
  <c r="CH59" i="1"/>
  <c r="CI59" i="1"/>
  <c r="CJ59" i="1"/>
  <c r="CK59" i="1"/>
  <c r="CL59" i="1"/>
  <c r="CN59" i="1"/>
  <c r="CO59" i="1"/>
  <c r="CP59" i="1"/>
  <c r="CQ59" i="1"/>
  <c r="CR59" i="1"/>
  <c r="CS59" i="1"/>
  <c r="BG60" i="1"/>
  <c r="BH60" i="1"/>
  <c r="BI60" i="1"/>
  <c r="BJ60" i="1"/>
  <c r="BK60" i="1"/>
  <c r="BL60" i="1"/>
  <c r="BM60" i="1"/>
  <c r="BN60" i="1"/>
  <c r="BO60" i="1"/>
  <c r="BQ60" i="1"/>
  <c r="BR60" i="1"/>
  <c r="BS60" i="1"/>
  <c r="BT60" i="1"/>
  <c r="BU60" i="1"/>
  <c r="BV60" i="1"/>
  <c r="BY60" i="1"/>
  <c r="BZ60" i="1"/>
  <c r="CA60" i="1"/>
  <c r="CB60" i="1"/>
  <c r="CC60" i="1"/>
  <c r="CD60" i="1"/>
  <c r="CE60" i="1"/>
  <c r="CF60" i="1"/>
  <c r="CH60" i="1"/>
  <c r="CI60" i="1"/>
  <c r="CJ60" i="1"/>
  <c r="CK60" i="1"/>
  <c r="CL60" i="1"/>
  <c r="CN60" i="1"/>
  <c r="CO60" i="1"/>
  <c r="CP60" i="1"/>
  <c r="CQ60" i="1"/>
  <c r="CR60" i="1"/>
  <c r="CS60" i="1"/>
  <c r="BG61" i="1"/>
  <c r="BH61" i="1"/>
  <c r="BI61" i="1"/>
  <c r="BJ61" i="1"/>
  <c r="BK61" i="1"/>
  <c r="BL61" i="1"/>
  <c r="BM61" i="1"/>
  <c r="BN61" i="1"/>
  <c r="BO61" i="1"/>
  <c r="BQ61" i="1"/>
  <c r="BR61" i="1"/>
  <c r="BS61" i="1"/>
  <c r="BT61" i="1"/>
  <c r="BU61" i="1"/>
  <c r="BV61" i="1"/>
  <c r="BY61" i="1"/>
  <c r="BZ61" i="1"/>
  <c r="CA61" i="1"/>
  <c r="CB61" i="1"/>
  <c r="CC61" i="1"/>
  <c r="CD61" i="1"/>
  <c r="CE61" i="1"/>
  <c r="CF61" i="1"/>
  <c r="CH61" i="1"/>
  <c r="CI61" i="1"/>
  <c r="CJ61" i="1"/>
  <c r="CK61" i="1"/>
  <c r="CL61" i="1"/>
  <c r="CN61" i="1"/>
  <c r="CO61" i="1"/>
  <c r="CP61" i="1"/>
  <c r="CQ61" i="1"/>
  <c r="CR61" i="1"/>
  <c r="CS61" i="1"/>
  <c r="BG62" i="1"/>
  <c r="BH62" i="1"/>
  <c r="BI62" i="1"/>
  <c r="BJ62" i="1"/>
  <c r="BK62" i="1"/>
  <c r="BL62" i="1"/>
  <c r="BM62" i="1"/>
  <c r="BN62" i="1"/>
  <c r="BO62" i="1"/>
  <c r="BQ62" i="1"/>
  <c r="BR62" i="1"/>
  <c r="BS62" i="1"/>
  <c r="BT62" i="1"/>
  <c r="BU62" i="1"/>
  <c r="BV62" i="1"/>
  <c r="BY62" i="1"/>
  <c r="BZ62" i="1"/>
  <c r="CA62" i="1"/>
  <c r="CB62" i="1"/>
  <c r="CC62" i="1"/>
  <c r="CD62" i="1"/>
  <c r="CE62" i="1"/>
  <c r="CF62" i="1"/>
  <c r="CH62" i="1"/>
  <c r="CI62" i="1"/>
  <c r="CJ62" i="1"/>
  <c r="CK62" i="1"/>
  <c r="CL62" i="1"/>
  <c r="CN62" i="1"/>
  <c r="CO62" i="1"/>
  <c r="CP62" i="1"/>
  <c r="CQ62" i="1"/>
  <c r="CR62" i="1"/>
  <c r="CS62" i="1"/>
  <c r="BG63" i="1"/>
  <c r="BH63" i="1"/>
  <c r="BI63" i="1"/>
  <c r="BJ63" i="1"/>
  <c r="BK63" i="1"/>
  <c r="BL63" i="1"/>
  <c r="BM63" i="1"/>
  <c r="BN63" i="1"/>
  <c r="BO63" i="1"/>
  <c r="BQ63" i="1"/>
  <c r="BR63" i="1"/>
  <c r="BS63" i="1"/>
  <c r="BT63" i="1"/>
  <c r="BU63" i="1"/>
  <c r="BV63" i="1"/>
  <c r="BY63" i="1"/>
  <c r="BZ63" i="1"/>
  <c r="CA63" i="1"/>
  <c r="CB63" i="1"/>
  <c r="CC63" i="1"/>
  <c r="CD63" i="1"/>
  <c r="CE63" i="1"/>
  <c r="CF63" i="1"/>
  <c r="CH63" i="1"/>
  <c r="CI63" i="1"/>
  <c r="CJ63" i="1"/>
  <c r="CK63" i="1"/>
  <c r="CL63" i="1"/>
  <c r="CN63" i="1"/>
  <c r="CO63" i="1"/>
  <c r="CP63" i="1"/>
  <c r="CQ63" i="1"/>
  <c r="CR63" i="1"/>
  <c r="CS63" i="1"/>
  <c r="BG64" i="1"/>
  <c r="BH64" i="1"/>
  <c r="BI64" i="1"/>
  <c r="BJ64" i="1"/>
  <c r="BK64" i="1"/>
  <c r="BL64" i="1"/>
  <c r="BM64" i="1"/>
  <c r="BN64" i="1"/>
  <c r="BO64" i="1"/>
  <c r="BQ64" i="1"/>
  <c r="BR64" i="1"/>
  <c r="BS64" i="1"/>
  <c r="BT64" i="1"/>
  <c r="BU64" i="1"/>
  <c r="BV64" i="1"/>
  <c r="BY64" i="1"/>
  <c r="BZ64" i="1"/>
  <c r="CA64" i="1"/>
  <c r="CB64" i="1"/>
  <c r="CC64" i="1"/>
  <c r="CD64" i="1"/>
  <c r="CE64" i="1"/>
  <c r="CF64" i="1"/>
  <c r="CH64" i="1"/>
  <c r="CI64" i="1"/>
  <c r="CJ64" i="1"/>
  <c r="CK64" i="1"/>
  <c r="CL64" i="1"/>
  <c r="CN64" i="1"/>
  <c r="CO64" i="1"/>
  <c r="CP64" i="1"/>
  <c r="CQ64" i="1"/>
  <c r="CR64" i="1"/>
  <c r="CS64" i="1"/>
  <c r="BG65" i="1"/>
  <c r="BH65" i="1"/>
  <c r="BI65" i="1"/>
  <c r="BJ65" i="1"/>
  <c r="BK65" i="1"/>
  <c r="BL65" i="1"/>
  <c r="BM65" i="1"/>
  <c r="BN65" i="1"/>
  <c r="BO65" i="1"/>
  <c r="BQ65" i="1"/>
  <c r="BR65" i="1"/>
  <c r="BS65" i="1"/>
  <c r="BT65" i="1"/>
  <c r="BU65" i="1"/>
  <c r="BV65" i="1"/>
  <c r="BY65" i="1"/>
  <c r="BZ65" i="1"/>
  <c r="CA65" i="1"/>
  <c r="CB65" i="1"/>
  <c r="CC65" i="1"/>
  <c r="CD65" i="1"/>
  <c r="CE65" i="1"/>
  <c r="CF65" i="1"/>
  <c r="CH65" i="1"/>
  <c r="CI65" i="1"/>
  <c r="CJ65" i="1"/>
  <c r="CK65" i="1"/>
  <c r="CL65" i="1"/>
  <c r="CN65" i="1"/>
  <c r="CO65" i="1"/>
  <c r="CP65" i="1"/>
  <c r="CQ65" i="1"/>
  <c r="CR65" i="1"/>
  <c r="CS65" i="1"/>
  <c r="BG66" i="1"/>
  <c r="BH66" i="1"/>
  <c r="BI66" i="1"/>
  <c r="BJ66" i="1"/>
  <c r="BK66" i="1"/>
  <c r="BL66" i="1"/>
  <c r="BM66" i="1"/>
  <c r="BN66" i="1"/>
  <c r="BO66" i="1"/>
  <c r="BQ66" i="1"/>
  <c r="BR66" i="1"/>
  <c r="BS66" i="1"/>
  <c r="BT66" i="1"/>
  <c r="BU66" i="1"/>
  <c r="BV66" i="1"/>
  <c r="BY66" i="1"/>
  <c r="BZ66" i="1"/>
  <c r="CA66" i="1"/>
  <c r="CB66" i="1"/>
  <c r="CC66" i="1"/>
  <c r="CD66" i="1"/>
  <c r="CE66" i="1"/>
  <c r="CF66" i="1"/>
  <c r="CH66" i="1"/>
  <c r="CI66" i="1"/>
  <c r="CJ66" i="1"/>
  <c r="CK66" i="1"/>
  <c r="CL66" i="1"/>
  <c r="CN66" i="1"/>
  <c r="CO66" i="1"/>
  <c r="CP66" i="1"/>
  <c r="CQ66" i="1"/>
  <c r="CR66" i="1"/>
  <c r="CS66" i="1"/>
  <c r="BG8" i="1"/>
  <c r="BH8" i="1"/>
  <c r="BI8" i="1"/>
  <c r="BJ8" i="1"/>
  <c r="BK8" i="1"/>
  <c r="BL8" i="1"/>
  <c r="BM8" i="1"/>
  <c r="BN8" i="1"/>
  <c r="BO8" i="1"/>
  <c r="BQ8" i="1"/>
  <c r="BR8" i="1"/>
  <c r="BT8" i="1"/>
  <c r="BU8" i="1"/>
  <c r="BV8" i="1"/>
  <c r="BY8" i="1"/>
  <c r="BZ8" i="1"/>
  <c r="CA8" i="1"/>
  <c r="CB8" i="1"/>
  <c r="CC8" i="1"/>
  <c r="CD8" i="1"/>
  <c r="CE8" i="1"/>
  <c r="CF8" i="1"/>
  <c r="CH8" i="1"/>
  <c r="CI8" i="1"/>
  <c r="CJ8" i="1"/>
  <c r="CK8" i="1"/>
  <c r="CL8" i="1"/>
  <c r="CN8" i="1"/>
  <c r="CO8" i="1"/>
  <c r="CP8" i="1"/>
  <c r="CQ8" i="1"/>
  <c r="CR8" i="1"/>
  <c r="CS8" i="1"/>
  <c r="BG9" i="1"/>
  <c r="BH9" i="1"/>
  <c r="BI9" i="1"/>
  <c r="BJ9" i="1"/>
  <c r="BK9" i="1"/>
  <c r="BL9" i="1"/>
  <c r="BM9" i="1"/>
  <c r="BN9" i="1"/>
  <c r="BO9" i="1"/>
  <c r="BQ9" i="1"/>
  <c r="BR9" i="1"/>
  <c r="BT9" i="1"/>
  <c r="BU9" i="1"/>
  <c r="BV9" i="1"/>
  <c r="BY9" i="1"/>
  <c r="BZ9" i="1"/>
  <c r="CA9" i="1"/>
  <c r="CB9" i="1"/>
  <c r="CC9" i="1"/>
  <c r="CD9" i="1"/>
  <c r="CE9" i="1"/>
  <c r="CF9" i="1"/>
  <c r="CH9" i="1"/>
  <c r="CI9" i="1"/>
  <c r="CJ9" i="1"/>
  <c r="CK9" i="1"/>
  <c r="CL9" i="1"/>
  <c r="CN9" i="1"/>
  <c r="CO9" i="1"/>
  <c r="CP9" i="1"/>
  <c r="CQ9" i="1"/>
  <c r="CR9" i="1"/>
  <c r="CS9" i="1"/>
  <c r="BG10" i="1"/>
  <c r="BH10" i="1"/>
  <c r="BI10" i="1"/>
  <c r="BJ10" i="1"/>
  <c r="BK10" i="1"/>
  <c r="BL10" i="1"/>
  <c r="BM10" i="1"/>
  <c r="BN10" i="1"/>
  <c r="BO10" i="1"/>
  <c r="BQ10" i="1"/>
  <c r="BR10" i="1"/>
  <c r="BT10" i="1"/>
  <c r="BU10" i="1"/>
  <c r="BV10" i="1"/>
  <c r="BY10" i="1"/>
  <c r="BZ10" i="1"/>
  <c r="CA10" i="1"/>
  <c r="CB10" i="1"/>
  <c r="CC10" i="1"/>
  <c r="CD10" i="1"/>
  <c r="CE10" i="1"/>
  <c r="CF10" i="1"/>
  <c r="CH10" i="1"/>
  <c r="CI10" i="1"/>
  <c r="CJ10" i="1"/>
  <c r="CK10" i="1"/>
  <c r="CL10" i="1"/>
  <c r="CN10" i="1"/>
  <c r="CO10" i="1"/>
  <c r="CP10" i="1"/>
  <c r="CQ10" i="1"/>
  <c r="CR10" i="1"/>
  <c r="CS10" i="1"/>
  <c r="BG11" i="1"/>
  <c r="BH11" i="1"/>
  <c r="BI11" i="1"/>
  <c r="BJ11" i="1"/>
  <c r="BK11" i="1"/>
  <c r="BL11" i="1"/>
  <c r="BM11" i="1"/>
  <c r="BN11" i="1"/>
  <c r="BO11" i="1"/>
  <c r="BQ11" i="1"/>
  <c r="BR11" i="1"/>
  <c r="BT11" i="1"/>
  <c r="BU11" i="1"/>
  <c r="BV11" i="1"/>
  <c r="BY11" i="1"/>
  <c r="BZ11" i="1"/>
  <c r="CA11" i="1"/>
  <c r="CB11" i="1"/>
  <c r="CC11" i="1"/>
  <c r="CD11" i="1"/>
  <c r="CE11" i="1"/>
  <c r="CF11" i="1"/>
  <c r="CH11" i="1"/>
  <c r="CI11" i="1"/>
  <c r="CJ11" i="1"/>
  <c r="CK11" i="1"/>
  <c r="CL11" i="1"/>
  <c r="CN11" i="1"/>
  <c r="CO11" i="1"/>
  <c r="CP11" i="1"/>
  <c r="CQ11" i="1"/>
  <c r="CR11" i="1"/>
  <c r="CS11" i="1"/>
  <c r="BG12" i="1"/>
  <c r="BH12" i="1"/>
  <c r="BI12" i="1"/>
  <c r="BJ12" i="1"/>
  <c r="BK12" i="1"/>
  <c r="BL12" i="1"/>
  <c r="BM12" i="1"/>
  <c r="BN12" i="1"/>
  <c r="BO12" i="1"/>
  <c r="BQ12" i="1"/>
  <c r="BR12" i="1"/>
  <c r="BT12" i="1"/>
  <c r="BU12" i="1"/>
  <c r="BV12" i="1"/>
  <c r="BY12" i="1"/>
  <c r="BZ12" i="1"/>
  <c r="CA12" i="1"/>
  <c r="CB12" i="1"/>
  <c r="CC12" i="1"/>
  <c r="CD12" i="1"/>
  <c r="CE12" i="1"/>
  <c r="CF12" i="1"/>
  <c r="CH12" i="1"/>
  <c r="CI12" i="1"/>
  <c r="CJ12" i="1"/>
  <c r="CK12" i="1"/>
  <c r="CL12" i="1"/>
  <c r="CN12" i="1"/>
  <c r="CO12" i="1"/>
  <c r="CP12" i="1"/>
  <c r="CQ12" i="1"/>
  <c r="CR12" i="1"/>
  <c r="CS12" i="1"/>
  <c r="BG13" i="1"/>
  <c r="BH13" i="1"/>
  <c r="BI13" i="1"/>
  <c r="BJ13" i="1"/>
  <c r="BK13" i="1"/>
  <c r="BL13" i="1"/>
  <c r="BM13" i="1"/>
  <c r="BN13" i="1"/>
  <c r="BO13" i="1"/>
  <c r="BQ13" i="1"/>
  <c r="BR13" i="1"/>
  <c r="BT13" i="1"/>
  <c r="BU13" i="1"/>
  <c r="BV13" i="1"/>
  <c r="BY13" i="1"/>
  <c r="BZ13" i="1"/>
  <c r="CA13" i="1"/>
  <c r="CB13" i="1"/>
  <c r="CC13" i="1"/>
  <c r="CD13" i="1"/>
  <c r="CE13" i="1"/>
  <c r="CF13" i="1"/>
  <c r="CH13" i="1"/>
  <c r="CI13" i="1"/>
  <c r="CJ13" i="1"/>
  <c r="CK13" i="1"/>
  <c r="CL13" i="1"/>
  <c r="CN13" i="1"/>
  <c r="CO13" i="1"/>
  <c r="CP13" i="1"/>
  <c r="CQ13" i="1"/>
  <c r="CR13" i="1"/>
  <c r="CS13" i="1"/>
  <c r="BG14" i="1"/>
  <c r="BH14" i="1"/>
  <c r="BI14" i="1"/>
  <c r="BJ14" i="1"/>
  <c r="BK14" i="1"/>
  <c r="BL14" i="1"/>
  <c r="BM14" i="1"/>
  <c r="BN14" i="1"/>
  <c r="BO14" i="1"/>
  <c r="BQ14" i="1"/>
  <c r="BR14" i="1"/>
  <c r="BT14" i="1"/>
  <c r="BU14" i="1"/>
  <c r="BV14" i="1"/>
  <c r="BY14" i="1"/>
  <c r="BZ14" i="1"/>
  <c r="CA14" i="1"/>
  <c r="CB14" i="1"/>
  <c r="CC14" i="1"/>
  <c r="CD14" i="1"/>
  <c r="CE14" i="1"/>
  <c r="CF14" i="1"/>
  <c r="CH14" i="1"/>
  <c r="CI14" i="1"/>
  <c r="CJ14" i="1"/>
  <c r="CK14" i="1"/>
  <c r="CL14" i="1"/>
  <c r="CN14" i="1"/>
  <c r="CO14" i="1"/>
  <c r="CP14" i="1"/>
  <c r="CQ14" i="1"/>
  <c r="CR14" i="1"/>
  <c r="CS14" i="1"/>
  <c r="BG15" i="1"/>
  <c r="BH15" i="1"/>
  <c r="BI15" i="1"/>
  <c r="BJ15" i="1"/>
  <c r="BK15" i="1"/>
  <c r="BL15" i="1"/>
  <c r="BM15" i="1"/>
  <c r="BN15" i="1"/>
  <c r="BO15" i="1"/>
  <c r="BQ15" i="1"/>
  <c r="BR15" i="1"/>
  <c r="BT15" i="1"/>
  <c r="BU15" i="1"/>
  <c r="BV15" i="1"/>
  <c r="BY15" i="1"/>
  <c r="BZ15" i="1"/>
  <c r="CA15" i="1"/>
  <c r="CB15" i="1"/>
  <c r="CC15" i="1"/>
  <c r="CD15" i="1"/>
  <c r="CE15" i="1"/>
  <c r="CF15" i="1"/>
  <c r="CH15" i="1"/>
  <c r="CI15" i="1"/>
  <c r="CJ15" i="1"/>
  <c r="CK15" i="1"/>
  <c r="CL15" i="1"/>
  <c r="CN15" i="1"/>
  <c r="CO15" i="1"/>
  <c r="CP15" i="1"/>
  <c r="CQ15" i="1"/>
  <c r="CR15" i="1"/>
  <c r="CS15" i="1"/>
  <c r="BG16" i="1"/>
  <c r="BH16" i="1"/>
  <c r="BI16" i="1"/>
  <c r="BJ16" i="1"/>
  <c r="BK16" i="1"/>
  <c r="BL16" i="1"/>
  <c r="BM16" i="1"/>
  <c r="BN16" i="1"/>
  <c r="BO16" i="1"/>
  <c r="BQ16" i="1"/>
  <c r="BR16" i="1"/>
  <c r="BT16" i="1"/>
  <c r="BU16" i="1"/>
  <c r="BV16" i="1"/>
  <c r="BY16" i="1"/>
  <c r="BZ16" i="1"/>
  <c r="CA16" i="1"/>
  <c r="CB16" i="1"/>
  <c r="CC16" i="1"/>
  <c r="CD16" i="1"/>
  <c r="CE16" i="1"/>
  <c r="CF16" i="1"/>
  <c r="CH16" i="1"/>
  <c r="CI16" i="1"/>
  <c r="CJ16" i="1"/>
  <c r="CK16" i="1"/>
  <c r="CL16" i="1"/>
  <c r="CN16" i="1"/>
  <c r="CO16" i="1"/>
  <c r="CP16" i="1"/>
  <c r="CQ16" i="1"/>
  <c r="CR16" i="1"/>
  <c r="CS16" i="1"/>
  <c r="BG17" i="1"/>
  <c r="BH17" i="1"/>
  <c r="BI17" i="1"/>
  <c r="BJ17" i="1"/>
  <c r="BK17" i="1"/>
  <c r="BL17" i="1"/>
  <c r="BM17" i="1"/>
  <c r="BN17" i="1"/>
  <c r="BO17" i="1"/>
  <c r="BQ17" i="1"/>
  <c r="BR17" i="1"/>
  <c r="BT17" i="1"/>
  <c r="BU17" i="1"/>
  <c r="BV17" i="1"/>
  <c r="BY17" i="1"/>
  <c r="BZ17" i="1"/>
  <c r="CA17" i="1"/>
  <c r="CB17" i="1"/>
  <c r="CC17" i="1"/>
  <c r="CD17" i="1"/>
  <c r="CE17" i="1"/>
  <c r="CF17" i="1"/>
  <c r="CH17" i="1"/>
  <c r="CI17" i="1"/>
  <c r="CJ17" i="1"/>
  <c r="CK17" i="1"/>
  <c r="CL17" i="1"/>
  <c r="CN17" i="1"/>
  <c r="CO17" i="1"/>
  <c r="CP17" i="1"/>
  <c r="CQ17" i="1"/>
  <c r="CR17" i="1"/>
  <c r="CS17" i="1"/>
  <c r="BG18" i="1"/>
  <c r="BH18" i="1"/>
  <c r="BI18" i="1"/>
  <c r="BJ18" i="1"/>
  <c r="BK18" i="1"/>
  <c r="BL18" i="1"/>
  <c r="BM18" i="1"/>
  <c r="BN18" i="1"/>
  <c r="BO18" i="1"/>
  <c r="BQ18" i="1"/>
  <c r="BR18" i="1"/>
  <c r="BT18" i="1"/>
  <c r="BU18" i="1"/>
  <c r="BV18" i="1"/>
  <c r="BY18" i="1"/>
  <c r="BZ18" i="1"/>
  <c r="CA18" i="1"/>
  <c r="CB18" i="1"/>
  <c r="CC18" i="1"/>
  <c r="CD18" i="1"/>
  <c r="CE18" i="1"/>
  <c r="CF18" i="1"/>
  <c r="CH18" i="1"/>
  <c r="CI18" i="1"/>
  <c r="CJ18" i="1"/>
  <c r="CK18" i="1"/>
  <c r="CL18" i="1"/>
  <c r="CN18" i="1"/>
  <c r="CO18" i="1"/>
  <c r="CP18" i="1"/>
  <c r="CQ18" i="1"/>
  <c r="CR18" i="1"/>
  <c r="CS18" i="1"/>
  <c r="BG19" i="1"/>
  <c r="BH19" i="1"/>
  <c r="BI19" i="1"/>
  <c r="BJ19" i="1"/>
  <c r="BK19" i="1"/>
  <c r="BL19" i="1"/>
  <c r="BM19" i="1"/>
  <c r="BN19" i="1"/>
  <c r="BO19" i="1"/>
  <c r="BQ19" i="1"/>
  <c r="BR19" i="1"/>
  <c r="BT19" i="1"/>
  <c r="BU19" i="1"/>
  <c r="BV19" i="1"/>
  <c r="BY19" i="1"/>
  <c r="BZ19" i="1"/>
  <c r="CA19" i="1"/>
  <c r="CB19" i="1"/>
  <c r="CC19" i="1"/>
  <c r="CD19" i="1"/>
  <c r="CE19" i="1"/>
  <c r="CF19" i="1"/>
  <c r="CH19" i="1"/>
  <c r="CI19" i="1"/>
  <c r="CJ19" i="1"/>
  <c r="CK19" i="1"/>
  <c r="CL19" i="1"/>
  <c r="CN19" i="1"/>
  <c r="CO19" i="1"/>
  <c r="CP19" i="1"/>
  <c r="CQ19" i="1"/>
  <c r="CR19" i="1"/>
  <c r="CS19" i="1"/>
  <c r="BG20" i="1"/>
  <c r="BH20" i="1"/>
  <c r="BI20" i="1"/>
  <c r="BJ20" i="1"/>
  <c r="BK20" i="1"/>
  <c r="BL20" i="1"/>
  <c r="BM20" i="1"/>
  <c r="BN20" i="1"/>
  <c r="BO20" i="1"/>
  <c r="BQ20" i="1"/>
  <c r="BR20" i="1"/>
  <c r="BT20" i="1"/>
  <c r="BU20" i="1"/>
  <c r="BV20" i="1"/>
  <c r="BY20" i="1"/>
  <c r="BZ20" i="1"/>
  <c r="CA20" i="1"/>
  <c r="CB20" i="1"/>
  <c r="CC20" i="1"/>
  <c r="CD20" i="1"/>
  <c r="CE20" i="1"/>
  <c r="CF20" i="1"/>
  <c r="CH20" i="1"/>
  <c r="CI20" i="1"/>
  <c r="CJ20" i="1"/>
  <c r="CK20" i="1"/>
  <c r="CL20" i="1"/>
  <c r="CN20" i="1"/>
  <c r="CO20" i="1"/>
  <c r="CP20" i="1"/>
  <c r="CQ20" i="1"/>
  <c r="CR20" i="1"/>
  <c r="CS20" i="1"/>
  <c r="BG21" i="1"/>
  <c r="BH21" i="1"/>
  <c r="BI21" i="1"/>
  <c r="BJ21" i="1"/>
  <c r="BK21" i="1"/>
  <c r="BL21" i="1"/>
  <c r="BM21" i="1"/>
  <c r="BN21" i="1"/>
  <c r="BO21" i="1"/>
  <c r="BQ21" i="1"/>
  <c r="BR21" i="1"/>
  <c r="BT21" i="1"/>
  <c r="BU21" i="1"/>
  <c r="BV21" i="1"/>
  <c r="BY21" i="1"/>
  <c r="BZ21" i="1"/>
  <c r="CA21" i="1"/>
  <c r="CB21" i="1"/>
  <c r="CC21" i="1"/>
  <c r="CD21" i="1"/>
  <c r="CE21" i="1"/>
  <c r="CF21" i="1"/>
  <c r="CH21" i="1"/>
  <c r="CI21" i="1"/>
  <c r="CJ21" i="1"/>
  <c r="CK21" i="1"/>
  <c r="CL21" i="1"/>
  <c r="CN21" i="1"/>
  <c r="CO21" i="1"/>
  <c r="CP21" i="1"/>
  <c r="CQ21" i="1"/>
  <c r="CR21" i="1"/>
  <c r="CS21" i="1"/>
  <c r="BG22" i="1"/>
  <c r="BH22" i="1"/>
  <c r="BI22" i="1"/>
  <c r="BJ22" i="1"/>
  <c r="BK22" i="1"/>
  <c r="BL22" i="1"/>
  <c r="BM22" i="1"/>
  <c r="BN22" i="1"/>
  <c r="BO22" i="1"/>
  <c r="BQ22" i="1"/>
  <c r="BR22" i="1"/>
  <c r="BT22" i="1"/>
  <c r="BU22" i="1"/>
  <c r="BV22" i="1"/>
  <c r="BY22" i="1"/>
  <c r="BZ22" i="1"/>
  <c r="CA22" i="1"/>
  <c r="CB22" i="1"/>
  <c r="CC22" i="1"/>
  <c r="CD22" i="1"/>
  <c r="CE22" i="1"/>
  <c r="CF22" i="1"/>
  <c r="CH22" i="1"/>
  <c r="CI22" i="1"/>
  <c r="CJ22" i="1"/>
  <c r="CK22" i="1"/>
  <c r="CL22" i="1"/>
  <c r="CN22" i="1"/>
  <c r="CO22" i="1"/>
  <c r="CP22" i="1"/>
  <c r="CQ22" i="1"/>
  <c r="CR22" i="1"/>
  <c r="CS22" i="1"/>
  <c r="BG23" i="1"/>
  <c r="BH23" i="1"/>
  <c r="BI23" i="1"/>
  <c r="BJ23" i="1"/>
  <c r="BK23" i="1"/>
  <c r="BL23" i="1"/>
  <c r="BM23" i="1"/>
  <c r="BN23" i="1"/>
  <c r="BO23" i="1"/>
  <c r="BQ23" i="1"/>
  <c r="BR23" i="1"/>
  <c r="BT23" i="1"/>
  <c r="BU23" i="1"/>
  <c r="BV23" i="1"/>
  <c r="BY23" i="1"/>
  <c r="BZ23" i="1"/>
  <c r="CA23" i="1"/>
  <c r="CB23" i="1"/>
  <c r="CC23" i="1"/>
  <c r="CD23" i="1"/>
  <c r="CE23" i="1"/>
  <c r="CF23" i="1"/>
  <c r="CH23" i="1"/>
  <c r="CI23" i="1"/>
  <c r="CJ23" i="1"/>
  <c r="CK23" i="1"/>
  <c r="CL23" i="1"/>
  <c r="CN23" i="1"/>
  <c r="CO23" i="1"/>
  <c r="CP23" i="1"/>
  <c r="CQ23" i="1"/>
  <c r="CR23" i="1"/>
  <c r="CS23" i="1"/>
  <c r="BG24" i="1"/>
  <c r="BH24" i="1"/>
  <c r="BI24" i="1"/>
  <c r="BJ24" i="1"/>
  <c r="BK24" i="1"/>
  <c r="BL24" i="1"/>
  <c r="BM24" i="1"/>
  <c r="BN24" i="1"/>
  <c r="BO24" i="1"/>
  <c r="BQ24" i="1"/>
  <c r="BR24" i="1"/>
  <c r="BT24" i="1"/>
  <c r="BU24" i="1"/>
  <c r="BV24" i="1"/>
  <c r="BY24" i="1"/>
  <c r="BZ24" i="1"/>
  <c r="CA24" i="1"/>
  <c r="CB24" i="1"/>
  <c r="CC24" i="1"/>
  <c r="CD24" i="1"/>
  <c r="CE24" i="1"/>
  <c r="CF24" i="1"/>
  <c r="CH24" i="1"/>
  <c r="CI24" i="1"/>
  <c r="CJ24" i="1"/>
  <c r="CK24" i="1"/>
  <c r="CL24" i="1"/>
  <c r="CN24" i="1"/>
  <c r="CO24" i="1"/>
  <c r="CP24" i="1"/>
  <c r="CQ24" i="1"/>
  <c r="CR24" i="1"/>
  <c r="CS24" i="1"/>
  <c r="BG25" i="1"/>
  <c r="BH25" i="1"/>
  <c r="BI25" i="1"/>
  <c r="BJ25" i="1"/>
  <c r="BK25" i="1"/>
  <c r="BL25" i="1"/>
  <c r="BM25" i="1"/>
  <c r="BN25" i="1"/>
  <c r="BO25" i="1"/>
  <c r="BQ25" i="1"/>
  <c r="BR25" i="1"/>
  <c r="BT25" i="1"/>
  <c r="BU25" i="1"/>
  <c r="BV25" i="1"/>
  <c r="BY25" i="1"/>
  <c r="BZ25" i="1"/>
  <c r="CA25" i="1"/>
  <c r="CB25" i="1"/>
  <c r="CC25" i="1"/>
  <c r="CD25" i="1"/>
  <c r="CE25" i="1"/>
  <c r="CF25" i="1"/>
  <c r="CH25" i="1"/>
  <c r="CI25" i="1"/>
  <c r="CJ25" i="1"/>
  <c r="CK25" i="1"/>
  <c r="CL25" i="1"/>
  <c r="CN25" i="1"/>
  <c r="CO25" i="1"/>
  <c r="CP25" i="1"/>
  <c r="CQ25" i="1"/>
  <c r="CR25" i="1"/>
  <c r="CS25" i="1"/>
  <c r="BG26" i="1"/>
  <c r="BH26" i="1"/>
  <c r="BI26" i="1"/>
  <c r="BJ26" i="1"/>
  <c r="BK26" i="1"/>
  <c r="BL26" i="1"/>
  <c r="BM26" i="1"/>
  <c r="BN26" i="1"/>
  <c r="BO26" i="1"/>
  <c r="BQ26" i="1"/>
  <c r="BR26" i="1"/>
  <c r="BT26" i="1"/>
  <c r="BU26" i="1"/>
  <c r="BV26" i="1"/>
  <c r="BY26" i="1"/>
  <c r="BZ26" i="1"/>
  <c r="CA26" i="1"/>
  <c r="CB26" i="1"/>
  <c r="CC26" i="1"/>
  <c r="CD26" i="1"/>
  <c r="CE26" i="1"/>
  <c r="CF26" i="1"/>
  <c r="CH26" i="1"/>
  <c r="CI26" i="1"/>
  <c r="CJ26" i="1"/>
  <c r="CK26" i="1"/>
  <c r="CL26" i="1"/>
  <c r="CN26" i="1"/>
  <c r="CO26" i="1"/>
  <c r="CP26" i="1"/>
  <c r="CQ26" i="1"/>
  <c r="CR26" i="1"/>
  <c r="CS26" i="1"/>
  <c r="BG27" i="1"/>
  <c r="BH27" i="1"/>
  <c r="BI27" i="1"/>
  <c r="BJ27" i="1"/>
  <c r="BK27" i="1"/>
  <c r="BL27" i="1"/>
  <c r="BM27" i="1"/>
  <c r="BN27" i="1"/>
  <c r="BO27" i="1"/>
  <c r="BQ27" i="1"/>
  <c r="BR27" i="1"/>
  <c r="BT27" i="1"/>
  <c r="BU27" i="1"/>
  <c r="BV27" i="1"/>
  <c r="BY27" i="1"/>
  <c r="BZ27" i="1"/>
  <c r="CA27" i="1"/>
  <c r="CB27" i="1"/>
  <c r="CC27" i="1"/>
  <c r="CD27" i="1"/>
  <c r="CE27" i="1"/>
  <c r="CF27" i="1"/>
  <c r="CH27" i="1"/>
  <c r="CI27" i="1"/>
  <c r="CJ27" i="1"/>
  <c r="CK27" i="1"/>
  <c r="CL27" i="1"/>
  <c r="CN27" i="1"/>
  <c r="CO27" i="1"/>
  <c r="CP27" i="1"/>
  <c r="CQ27" i="1"/>
  <c r="CR27" i="1"/>
  <c r="CS27" i="1"/>
  <c r="BG28" i="1"/>
  <c r="BH28" i="1"/>
  <c r="BI28" i="1"/>
  <c r="BJ28" i="1"/>
  <c r="BK28" i="1"/>
  <c r="BL28" i="1"/>
  <c r="BM28" i="1"/>
  <c r="BN28" i="1"/>
  <c r="BO28" i="1"/>
  <c r="BQ28" i="1"/>
  <c r="BR28" i="1"/>
  <c r="BT28" i="1"/>
  <c r="BU28" i="1"/>
  <c r="BV28" i="1"/>
  <c r="BY28" i="1"/>
  <c r="BZ28" i="1"/>
  <c r="CA28" i="1"/>
  <c r="CB28" i="1"/>
  <c r="CC28" i="1"/>
  <c r="CD28" i="1"/>
  <c r="CE28" i="1"/>
  <c r="CF28" i="1"/>
  <c r="CH28" i="1"/>
  <c r="CI28" i="1"/>
  <c r="CJ28" i="1"/>
  <c r="CK28" i="1"/>
  <c r="CL28" i="1"/>
  <c r="CN28" i="1"/>
  <c r="CO28" i="1"/>
  <c r="CP28" i="1"/>
  <c r="CQ28" i="1"/>
  <c r="CR28" i="1"/>
  <c r="CS28" i="1"/>
  <c r="BG29" i="1"/>
  <c r="BH29" i="1"/>
  <c r="BI29" i="1"/>
  <c r="BJ29" i="1"/>
  <c r="BK29" i="1"/>
  <c r="BL29" i="1"/>
  <c r="BM29" i="1"/>
  <c r="BN29" i="1"/>
  <c r="BO29" i="1"/>
  <c r="BQ29" i="1"/>
  <c r="BR29" i="1"/>
  <c r="BT29" i="1"/>
  <c r="BU29" i="1"/>
  <c r="BV29" i="1"/>
  <c r="BY29" i="1"/>
  <c r="BZ29" i="1"/>
  <c r="CA29" i="1"/>
  <c r="CB29" i="1"/>
  <c r="CC29" i="1"/>
  <c r="CD29" i="1"/>
  <c r="CE29" i="1"/>
  <c r="CF29" i="1"/>
  <c r="CH29" i="1"/>
  <c r="CI29" i="1"/>
  <c r="CJ29" i="1"/>
  <c r="CK29" i="1"/>
  <c r="CL29" i="1"/>
  <c r="CN29" i="1"/>
  <c r="CO29" i="1"/>
  <c r="CP29" i="1"/>
  <c r="CQ29" i="1"/>
  <c r="CR29" i="1"/>
  <c r="CS29" i="1"/>
  <c r="BG30" i="1"/>
  <c r="BH30" i="1"/>
  <c r="BI30" i="1"/>
  <c r="BJ30" i="1"/>
  <c r="BK30" i="1"/>
  <c r="BL30" i="1"/>
  <c r="BM30" i="1"/>
  <c r="BN30" i="1"/>
  <c r="BO30" i="1"/>
  <c r="BQ30" i="1"/>
  <c r="BR30" i="1"/>
  <c r="BT30" i="1"/>
  <c r="BU30" i="1"/>
  <c r="BV30" i="1"/>
  <c r="BY30" i="1"/>
  <c r="BZ30" i="1"/>
  <c r="CA30" i="1"/>
  <c r="CB30" i="1"/>
  <c r="CC30" i="1"/>
  <c r="CD30" i="1"/>
  <c r="CE30" i="1"/>
  <c r="CF30" i="1"/>
  <c r="CH30" i="1"/>
  <c r="CI30" i="1"/>
  <c r="CJ30" i="1"/>
  <c r="CK30" i="1"/>
  <c r="CL30" i="1"/>
  <c r="CN30" i="1"/>
  <c r="CO30" i="1"/>
  <c r="CP30" i="1"/>
  <c r="CQ30" i="1"/>
  <c r="CR30" i="1"/>
  <c r="CS30" i="1"/>
  <c r="BG31" i="1"/>
  <c r="BH31" i="1"/>
  <c r="BI31" i="1"/>
  <c r="BJ31" i="1"/>
  <c r="BK31" i="1"/>
  <c r="BL31" i="1"/>
  <c r="BM31" i="1"/>
  <c r="BN31" i="1"/>
  <c r="BO31" i="1"/>
  <c r="BQ31" i="1"/>
  <c r="BR31" i="1"/>
  <c r="BT31" i="1"/>
  <c r="BU31" i="1"/>
  <c r="BV31" i="1"/>
  <c r="BY31" i="1"/>
  <c r="BZ31" i="1"/>
  <c r="CA31" i="1"/>
  <c r="CB31" i="1"/>
  <c r="CC31" i="1"/>
  <c r="CD31" i="1"/>
  <c r="CE31" i="1"/>
  <c r="CF31" i="1"/>
  <c r="CH31" i="1"/>
  <c r="CI31" i="1"/>
  <c r="CJ31" i="1"/>
  <c r="CK31" i="1"/>
  <c r="CL31" i="1"/>
  <c r="CN31" i="1"/>
  <c r="CO31" i="1"/>
  <c r="CP31" i="1"/>
  <c r="CQ31" i="1"/>
  <c r="CR31" i="1"/>
  <c r="CS31" i="1"/>
  <c r="BG32" i="1"/>
  <c r="BH32" i="1"/>
  <c r="BI32" i="1"/>
  <c r="BJ32" i="1"/>
  <c r="BK32" i="1"/>
  <c r="BL32" i="1"/>
  <c r="BM32" i="1"/>
  <c r="BN32" i="1"/>
  <c r="BO32" i="1"/>
  <c r="BQ32" i="1"/>
  <c r="BR32" i="1"/>
  <c r="BT32" i="1"/>
  <c r="BU32" i="1"/>
  <c r="BV32" i="1"/>
  <c r="BY32" i="1"/>
  <c r="BZ32" i="1"/>
  <c r="CA32" i="1"/>
  <c r="CB32" i="1"/>
  <c r="CC32" i="1"/>
  <c r="CD32" i="1"/>
  <c r="CE32" i="1"/>
  <c r="CF32" i="1"/>
  <c r="CH32" i="1"/>
  <c r="CI32" i="1"/>
  <c r="CJ32" i="1"/>
  <c r="CK32" i="1"/>
  <c r="CL32" i="1"/>
  <c r="CN32" i="1"/>
  <c r="CO32" i="1"/>
  <c r="CP32" i="1"/>
  <c r="CQ32" i="1"/>
  <c r="CR32" i="1"/>
  <c r="CS32" i="1"/>
  <c r="BG33" i="1"/>
  <c r="BH33" i="1"/>
  <c r="BI33" i="1"/>
  <c r="BJ33" i="1"/>
  <c r="BK33" i="1"/>
  <c r="BL33" i="1"/>
  <c r="BM33" i="1"/>
  <c r="BN33" i="1"/>
  <c r="BO33" i="1"/>
  <c r="BQ33" i="1"/>
  <c r="BR33" i="1"/>
  <c r="BT33" i="1"/>
  <c r="BU33" i="1"/>
  <c r="BV33" i="1"/>
  <c r="BY33" i="1"/>
  <c r="BZ33" i="1"/>
  <c r="CA33" i="1"/>
  <c r="CB33" i="1"/>
  <c r="CC33" i="1"/>
  <c r="CD33" i="1"/>
  <c r="CE33" i="1"/>
  <c r="CF33" i="1"/>
  <c r="CH33" i="1"/>
  <c r="CI33" i="1"/>
  <c r="CJ33" i="1"/>
  <c r="CK33" i="1"/>
  <c r="CL33" i="1"/>
  <c r="CN33" i="1"/>
  <c r="CO33" i="1"/>
  <c r="CP33" i="1"/>
  <c r="CQ33" i="1"/>
  <c r="CR33" i="1"/>
  <c r="CS33" i="1"/>
  <c r="BG34" i="1"/>
  <c r="BH34" i="1"/>
  <c r="BI34" i="1"/>
  <c r="BJ34" i="1"/>
  <c r="BK34" i="1"/>
  <c r="BL34" i="1"/>
  <c r="BM34" i="1"/>
  <c r="BN34" i="1"/>
  <c r="BO34" i="1"/>
  <c r="BQ34" i="1"/>
  <c r="BR34" i="1"/>
  <c r="BT34" i="1"/>
  <c r="BU34" i="1"/>
  <c r="BV34" i="1"/>
  <c r="BY34" i="1"/>
  <c r="BZ34" i="1"/>
  <c r="CA34" i="1"/>
  <c r="CB34" i="1"/>
  <c r="CC34" i="1"/>
  <c r="CD34" i="1"/>
  <c r="CE34" i="1"/>
  <c r="CF34" i="1"/>
  <c r="CH34" i="1"/>
  <c r="CI34" i="1"/>
  <c r="CJ34" i="1"/>
  <c r="CK34" i="1"/>
  <c r="CL34" i="1"/>
  <c r="CN34" i="1"/>
  <c r="CO34" i="1"/>
  <c r="CP34" i="1"/>
  <c r="CQ34" i="1"/>
  <c r="CR34" i="1"/>
  <c r="CS34" i="1"/>
  <c r="BG35" i="1"/>
  <c r="BH35" i="1"/>
  <c r="BI35" i="1"/>
  <c r="BJ35" i="1"/>
  <c r="BK35" i="1"/>
  <c r="BL35" i="1"/>
  <c r="BM35" i="1"/>
  <c r="BN35" i="1"/>
  <c r="BO35" i="1"/>
  <c r="BQ35" i="1"/>
  <c r="BR35" i="1"/>
  <c r="BT35" i="1"/>
  <c r="BU35" i="1"/>
  <c r="BV35" i="1"/>
  <c r="BY35" i="1"/>
  <c r="BZ35" i="1"/>
  <c r="CA35" i="1"/>
  <c r="CB35" i="1"/>
  <c r="CC35" i="1"/>
  <c r="CD35" i="1"/>
  <c r="CE35" i="1"/>
  <c r="CF35" i="1"/>
  <c r="CH35" i="1"/>
  <c r="CI35" i="1"/>
  <c r="CJ35" i="1"/>
  <c r="CK35" i="1"/>
  <c r="CL35" i="1"/>
  <c r="CN35" i="1"/>
  <c r="CO35" i="1"/>
  <c r="CP35" i="1"/>
  <c r="CQ35" i="1"/>
  <c r="CR35" i="1"/>
  <c r="CS35" i="1"/>
  <c r="BG36" i="1"/>
  <c r="BH36" i="1"/>
  <c r="BI36" i="1"/>
  <c r="BJ36" i="1"/>
  <c r="BK36" i="1"/>
  <c r="BL36" i="1"/>
  <c r="BM36" i="1"/>
  <c r="BN36" i="1"/>
  <c r="BO36" i="1"/>
  <c r="BQ36" i="1"/>
  <c r="BR36" i="1"/>
  <c r="BT36" i="1"/>
  <c r="BU36" i="1"/>
  <c r="BV36" i="1"/>
  <c r="BY36" i="1"/>
  <c r="BZ36" i="1"/>
  <c r="CA36" i="1"/>
  <c r="CB36" i="1"/>
  <c r="CC36" i="1"/>
  <c r="CD36" i="1"/>
  <c r="CE36" i="1"/>
  <c r="CF36" i="1"/>
  <c r="CH36" i="1"/>
  <c r="CI36" i="1"/>
  <c r="CJ36" i="1"/>
  <c r="CK36" i="1"/>
  <c r="CL36" i="1"/>
  <c r="CN36" i="1"/>
  <c r="CO36" i="1"/>
  <c r="CP36" i="1"/>
  <c r="CQ36" i="1"/>
  <c r="CR36" i="1"/>
  <c r="CS36" i="1"/>
  <c r="BG37" i="1"/>
  <c r="BH37" i="1"/>
  <c r="BI37" i="1"/>
  <c r="BJ37" i="1"/>
  <c r="BK37" i="1"/>
  <c r="BL37" i="1"/>
  <c r="BM37" i="1"/>
  <c r="BN37" i="1"/>
  <c r="BO37" i="1"/>
  <c r="BQ37" i="1"/>
  <c r="BR37" i="1"/>
  <c r="BT37" i="1"/>
  <c r="BU37" i="1"/>
  <c r="BV37" i="1"/>
  <c r="BY37" i="1"/>
  <c r="BZ37" i="1"/>
  <c r="CA37" i="1"/>
  <c r="CB37" i="1"/>
  <c r="CC37" i="1"/>
  <c r="CD37" i="1"/>
  <c r="CE37" i="1"/>
  <c r="CF37" i="1"/>
  <c r="CH37" i="1"/>
  <c r="CI37" i="1"/>
  <c r="CJ37" i="1"/>
  <c r="CK37" i="1"/>
  <c r="CL37" i="1"/>
  <c r="CN37" i="1"/>
  <c r="CO37" i="1"/>
  <c r="CP37" i="1"/>
  <c r="CQ37" i="1"/>
  <c r="CR37" i="1"/>
  <c r="CS37" i="1"/>
  <c r="BG38" i="1"/>
  <c r="BH38" i="1"/>
  <c r="BI38" i="1"/>
  <c r="BJ38" i="1"/>
  <c r="BK38" i="1"/>
  <c r="BL38" i="1"/>
  <c r="BM38" i="1"/>
  <c r="BN38" i="1"/>
  <c r="BO38" i="1"/>
  <c r="BQ38" i="1"/>
  <c r="BR38" i="1"/>
  <c r="BT38" i="1"/>
  <c r="BU38" i="1"/>
  <c r="BV38" i="1"/>
  <c r="BY38" i="1"/>
  <c r="BZ38" i="1"/>
  <c r="CA38" i="1"/>
  <c r="CB38" i="1"/>
  <c r="CC38" i="1"/>
  <c r="CD38" i="1"/>
  <c r="CE38" i="1"/>
  <c r="CF38" i="1"/>
  <c r="CH38" i="1"/>
  <c r="CI38" i="1"/>
  <c r="CJ38" i="1"/>
  <c r="CK38" i="1"/>
  <c r="CL38" i="1"/>
  <c r="CN38" i="1"/>
  <c r="CO38" i="1"/>
  <c r="CP38" i="1"/>
  <c r="CQ38" i="1"/>
  <c r="CR38" i="1"/>
  <c r="CS38" i="1"/>
  <c r="BG39" i="1"/>
  <c r="BH39" i="1"/>
  <c r="BI39" i="1"/>
  <c r="BJ39" i="1"/>
  <c r="BK39" i="1"/>
  <c r="BL39" i="1"/>
  <c r="BM39" i="1"/>
  <c r="BN39" i="1"/>
  <c r="BO39" i="1"/>
  <c r="BQ39" i="1"/>
  <c r="BR39" i="1"/>
  <c r="BT39" i="1"/>
  <c r="BU39" i="1"/>
  <c r="BV39" i="1"/>
  <c r="BY39" i="1"/>
  <c r="BZ39" i="1"/>
  <c r="CA39" i="1"/>
  <c r="CB39" i="1"/>
  <c r="CC39" i="1"/>
  <c r="CD39" i="1"/>
  <c r="CE39" i="1"/>
  <c r="CF39" i="1"/>
  <c r="CH39" i="1"/>
  <c r="CI39" i="1"/>
  <c r="CJ39" i="1"/>
  <c r="CK39" i="1"/>
  <c r="CL39" i="1"/>
  <c r="CN39" i="1"/>
  <c r="CO39" i="1"/>
  <c r="CP39" i="1"/>
  <c r="CQ39" i="1"/>
  <c r="CR39" i="1"/>
  <c r="CS39" i="1"/>
  <c r="BG40" i="1"/>
  <c r="BH40" i="1"/>
  <c r="BI40" i="1"/>
  <c r="BJ40" i="1"/>
  <c r="BK40" i="1"/>
  <c r="BL40" i="1"/>
  <c r="BM40" i="1"/>
  <c r="BN40" i="1"/>
  <c r="BO40" i="1"/>
  <c r="BQ40" i="1"/>
  <c r="BR40" i="1"/>
  <c r="BT40" i="1"/>
  <c r="BU40" i="1"/>
  <c r="BV40" i="1"/>
  <c r="BY40" i="1"/>
  <c r="BZ40" i="1"/>
  <c r="CA40" i="1"/>
  <c r="CB40" i="1"/>
  <c r="CC40" i="1"/>
  <c r="CD40" i="1"/>
  <c r="CE40" i="1"/>
  <c r="CF40" i="1"/>
  <c r="CH40" i="1"/>
  <c r="CI40" i="1"/>
  <c r="CJ40" i="1"/>
  <c r="CK40" i="1"/>
  <c r="CL40" i="1"/>
  <c r="CN40" i="1"/>
  <c r="CO40" i="1"/>
  <c r="CP40" i="1"/>
  <c r="CQ40" i="1"/>
  <c r="CR40" i="1"/>
  <c r="CS40" i="1"/>
  <c r="BG41" i="1"/>
  <c r="BH41" i="1"/>
  <c r="BI41" i="1"/>
  <c r="BJ41" i="1"/>
  <c r="BK41" i="1"/>
  <c r="BL41" i="1"/>
  <c r="BM41" i="1"/>
  <c r="BN41" i="1"/>
  <c r="BO41" i="1"/>
  <c r="BQ41" i="1"/>
  <c r="BR41" i="1"/>
  <c r="BT41" i="1"/>
  <c r="BU41" i="1"/>
  <c r="BV41" i="1"/>
  <c r="BY41" i="1"/>
  <c r="BZ41" i="1"/>
  <c r="CA41" i="1"/>
  <c r="CB41" i="1"/>
  <c r="CC41" i="1"/>
  <c r="CD41" i="1"/>
  <c r="CE41" i="1"/>
  <c r="CF41" i="1"/>
  <c r="CH41" i="1"/>
  <c r="CI41" i="1"/>
  <c r="CJ41" i="1"/>
  <c r="CK41" i="1"/>
  <c r="CL41" i="1"/>
  <c r="CN41" i="1"/>
  <c r="CO41" i="1"/>
  <c r="CP41" i="1"/>
  <c r="CQ41" i="1"/>
  <c r="CR41" i="1"/>
  <c r="CS41" i="1"/>
  <c r="BG42" i="1"/>
  <c r="BH42" i="1"/>
  <c r="BI42" i="1"/>
  <c r="BJ42" i="1"/>
  <c r="BK42" i="1"/>
  <c r="BL42" i="1"/>
  <c r="BM42" i="1"/>
  <c r="BN42" i="1"/>
  <c r="BO42" i="1"/>
  <c r="BQ42" i="1"/>
  <c r="BR42" i="1"/>
  <c r="BT42" i="1"/>
  <c r="BU42" i="1"/>
  <c r="BV42" i="1"/>
  <c r="BY42" i="1"/>
  <c r="BZ42" i="1"/>
  <c r="CA42" i="1"/>
  <c r="CB42" i="1"/>
  <c r="CC42" i="1"/>
  <c r="CD42" i="1"/>
  <c r="CE42" i="1"/>
  <c r="CF42" i="1"/>
  <c r="CH42" i="1"/>
  <c r="CI42" i="1"/>
  <c r="CJ42" i="1"/>
  <c r="CK42" i="1"/>
  <c r="CL42" i="1"/>
  <c r="CN42" i="1"/>
  <c r="CO42" i="1"/>
  <c r="CP42" i="1"/>
  <c r="CQ42" i="1"/>
  <c r="CR42" i="1"/>
  <c r="CS42" i="1"/>
  <c r="BG43" i="1"/>
  <c r="BH43" i="1"/>
  <c r="BI43" i="1"/>
  <c r="BJ43" i="1"/>
  <c r="BK43" i="1"/>
  <c r="BL43" i="1"/>
  <c r="BM43" i="1"/>
  <c r="BN43" i="1"/>
  <c r="BO43" i="1"/>
  <c r="BQ43" i="1"/>
  <c r="BR43" i="1"/>
  <c r="BT43" i="1"/>
  <c r="BU43" i="1"/>
  <c r="BV43" i="1"/>
  <c r="BY43" i="1"/>
  <c r="BZ43" i="1"/>
  <c r="CA43" i="1"/>
  <c r="CB43" i="1"/>
  <c r="CC43" i="1"/>
  <c r="CD43" i="1"/>
  <c r="CE43" i="1"/>
  <c r="CF43" i="1"/>
  <c r="CH43" i="1"/>
  <c r="CI43" i="1"/>
  <c r="CJ43" i="1"/>
  <c r="CK43" i="1"/>
  <c r="CL43" i="1"/>
  <c r="CN43" i="1"/>
  <c r="CO43" i="1"/>
  <c r="CP43" i="1"/>
  <c r="CQ43" i="1"/>
  <c r="CR43" i="1"/>
  <c r="CS43" i="1"/>
  <c r="BG44" i="1"/>
  <c r="BH44" i="1"/>
  <c r="BI44" i="1"/>
  <c r="BJ44" i="1"/>
  <c r="BK44" i="1"/>
  <c r="BL44" i="1"/>
  <c r="BM44" i="1"/>
  <c r="BN44" i="1"/>
  <c r="BO44" i="1"/>
  <c r="BQ44" i="1"/>
  <c r="BR44" i="1"/>
  <c r="BT44" i="1"/>
  <c r="BU44" i="1"/>
  <c r="BV44" i="1"/>
  <c r="BY44" i="1"/>
  <c r="BZ44" i="1"/>
  <c r="CA44" i="1"/>
  <c r="CB44" i="1"/>
  <c r="CC44" i="1"/>
  <c r="CD44" i="1"/>
  <c r="CE44" i="1"/>
  <c r="CF44" i="1"/>
  <c r="CH44" i="1"/>
  <c r="CI44" i="1"/>
  <c r="CJ44" i="1"/>
  <c r="CK44" i="1"/>
  <c r="CL44" i="1"/>
  <c r="CN44" i="1"/>
  <c r="CO44" i="1"/>
  <c r="CP44" i="1"/>
  <c r="CQ44" i="1"/>
  <c r="CR44" i="1"/>
  <c r="CS44" i="1"/>
  <c r="BG45" i="1"/>
  <c r="BH45" i="1"/>
  <c r="BI45" i="1"/>
  <c r="BJ45" i="1"/>
  <c r="BK45" i="1"/>
  <c r="BL45" i="1"/>
  <c r="BM45" i="1"/>
  <c r="BN45" i="1"/>
  <c r="BO45" i="1"/>
  <c r="BQ45" i="1"/>
  <c r="BR45" i="1"/>
  <c r="BT45" i="1"/>
  <c r="BU45" i="1"/>
  <c r="BV45" i="1"/>
  <c r="BY45" i="1"/>
  <c r="BZ45" i="1"/>
  <c r="CA45" i="1"/>
  <c r="CB45" i="1"/>
  <c r="CC45" i="1"/>
  <c r="CD45" i="1"/>
  <c r="CE45" i="1"/>
  <c r="CF45" i="1"/>
  <c r="CH45" i="1"/>
  <c r="CI45" i="1"/>
  <c r="CJ45" i="1"/>
  <c r="CK45" i="1"/>
  <c r="CL45" i="1"/>
  <c r="CN45" i="1"/>
  <c r="CO45" i="1"/>
  <c r="CP45" i="1"/>
  <c r="CQ45" i="1"/>
  <c r="CR45" i="1"/>
  <c r="CS45" i="1"/>
  <c r="BG46" i="1"/>
  <c r="BH46" i="1"/>
  <c r="BI46" i="1"/>
  <c r="BJ46" i="1"/>
  <c r="BK46" i="1"/>
  <c r="BL46" i="1"/>
  <c r="BM46" i="1"/>
  <c r="BN46" i="1"/>
  <c r="BO46" i="1"/>
  <c r="BQ46" i="1"/>
  <c r="BR46" i="1"/>
  <c r="BT46" i="1"/>
  <c r="BU46" i="1"/>
  <c r="BV46" i="1"/>
  <c r="BY46" i="1"/>
  <c r="BZ46" i="1"/>
  <c r="CA46" i="1"/>
  <c r="CB46" i="1"/>
  <c r="CC46" i="1"/>
  <c r="CD46" i="1"/>
  <c r="CE46" i="1"/>
  <c r="CF46" i="1"/>
  <c r="CH46" i="1"/>
  <c r="CI46" i="1"/>
  <c r="CJ46" i="1"/>
  <c r="CK46" i="1"/>
  <c r="CL46" i="1"/>
  <c r="CN46" i="1"/>
  <c r="CO46" i="1"/>
  <c r="CP46" i="1"/>
  <c r="CQ46" i="1"/>
  <c r="CR46" i="1"/>
  <c r="CS46" i="1"/>
  <c r="BG47" i="1"/>
  <c r="BH47" i="1"/>
  <c r="BI47" i="1"/>
  <c r="BJ47" i="1"/>
  <c r="BK47" i="1"/>
  <c r="BL47" i="1"/>
  <c r="BM47" i="1"/>
  <c r="BN47" i="1"/>
  <c r="BO47" i="1"/>
  <c r="BQ47" i="1"/>
  <c r="BR47" i="1"/>
  <c r="BT47" i="1"/>
  <c r="BU47" i="1"/>
  <c r="BV47" i="1"/>
  <c r="BY47" i="1"/>
  <c r="BZ47" i="1"/>
  <c r="CA47" i="1"/>
  <c r="CB47" i="1"/>
  <c r="CC47" i="1"/>
  <c r="CD47" i="1"/>
  <c r="CE47" i="1"/>
  <c r="CF47" i="1"/>
  <c r="CH47" i="1"/>
  <c r="CI47" i="1"/>
  <c r="CJ47" i="1"/>
  <c r="CK47" i="1"/>
  <c r="CL47" i="1"/>
  <c r="CN47" i="1"/>
  <c r="CO47" i="1"/>
  <c r="CP47" i="1"/>
  <c r="CQ47" i="1"/>
  <c r="CR47" i="1"/>
  <c r="CS47" i="1"/>
  <c r="BG48" i="1"/>
  <c r="BH48" i="1"/>
  <c r="BI48" i="1"/>
  <c r="BJ48" i="1"/>
  <c r="BK48" i="1"/>
  <c r="BL48" i="1"/>
  <c r="BM48" i="1"/>
  <c r="BN48" i="1"/>
  <c r="BO48" i="1"/>
  <c r="BQ48" i="1"/>
  <c r="BR48" i="1"/>
  <c r="BT48" i="1"/>
  <c r="BU48" i="1"/>
  <c r="BV48" i="1"/>
  <c r="BY48" i="1"/>
  <c r="BZ48" i="1"/>
  <c r="CA48" i="1"/>
  <c r="CB48" i="1"/>
  <c r="CC48" i="1"/>
  <c r="CD48" i="1"/>
  <c r="CE48" i="1"/>
  <c r="CF48" i="1"/>
  <c r="CH48" i="1"/>
  <c r="CI48" i="1"/>
  <c r="CJ48" i="1"/>
  <c r="CK48" i="1"/>
  <c r="CL48" i="1"/>
  <c r="CN48" i="1"/>
  <c r="CO48" i="1"/>
  <c r="CP48" i="1"/>
  <c r="CQ48" i="1"/>
  <c r="CR48" i="1"/>
  <c r="CS48" i="1"/>
  <c r="BG49" i="1"/>
  <c r="BH49" i="1"/>
  <c r="BI49" i="1"/>
  <c r="BJ49" i="1"/>
  <c r="BK49" i="1"/>
  <c r="BL49" i="1"/>
  <c r="BM49" i="1"/>
  <c r="BN49" i="1"/>
  <c r="BO49" i="1"/>
  <c r="BQ49" i="1"/>
  <c r="BR49" i="1"/>
  <c r="BT49" i="1"/>
  <c r="BU49" i="1"/>
  <c r="BV49" i="1"/>
  <c r="BY49" i="1"/>
  <c r="BZ49" i="1"/>
  <c r="CA49" i="1"/>
  <c r="CB49" i="1"/>
  <c r="CC49" i="1"/>
  <c r="CD49" i="1"/>
  <c r="CE49" i="1"/>
  <c r="CF49" i="1"/>
  <c r="CH49" i="1"/>
  <c r="CI49" i="1"/>
  <c r="CJ49" i="1"/>
  <c r="CK49" i="1"/>
  <c r="CL49" i="1"/>
  <c r="CN49" i="1"/>
  <c r="CO49" i="1"/>
  <c r="CP49" i="1"/>
  <c r="CQ49" i="1"/>
  <c r="CR49" i="1"/>
  <c r="CS49" i="1"/>
  <c r="BG50" i="1"/>
  <c r="BH50" i="1"/>
  <c r="BI50" i="1"/>
  <c r="BJ50" i="1"/>
  <c r="BK50" i="1"/>
  <c r="BL50" i="1"/>
  <c r="BM50" i="1"/>
  <c r="BN50" i="1"/>
  <c r="BO50" i="1"/>
  <c r="BQ50" i="1"/>
  <c r="BR50" i="1"/>
  <c r="BT50" i="1"/>
  <c r="BU50" i="1"/>
  <c r="BV50" i="1"/>
  <c r="BY50" i="1"/>
  <c r="BZ50" i="1"/>
  <c r="CA50" i="1"/>
  <c r="CB50" i="1"/>
  <c r="CC50" i="1"/>
  <c r="CD50" i="1"/>
  <c r="CE50" i="1"/>
  <c r="CF50" i="1"/>
  <c r="CH50" i="1"/>
  <c r="CI50" i="1"/>
  <c r="CJ50" i="1"/>
  <c r="CK50" i="1"/>
  <c r="CL50" i="1"/>
  <c r="CN50" i="1"/>
  <c r="CO50" i="1"/>
  <c r="CP50" i="1"/>
  <c r="CQ50" i="1"/>
  <c r="CR50" i="1"/>
  <c r="CS50" i="1"/>
  <c r="BG51" i="1"/>
  <c r="BH51" i="1"/>
  <c r="BI51" i="1"/>
  <c r="BJ51" i="1"/>
  <c r="BK51" i="1"/>
  <c r="BL51" i="1"/>
  <c r="BM51" i="1"/>
  <c r="BN51" i="1"/>
  <c r="BO51" i="1"/>
  <c r="BQ51" i="1"/>
  <c r="BR51" i="1"/>
  <c r="BT51" i="1"/>
  <c r="BU51" i="1"/>
  <c r="BV51" i="1"/>
  <c r="BY51" i="1"/>
  <c r="BZ51" i="1"/>
  <c r="CA51" i="1"/>
  <c r="CB51" i="1"/>
  <c r="CC51" i="1"/>
  <c r="CD51" i="1"/>
  <c r="CE51" i="1"/>
  <c r="CF51" i="1"/>
  <c r="CH51" i="1"/>
  <c r="CI51" i="1"/>
  <c r="CJ51" i="1"/>
  <c r="CK51" i="1"/>
  <c r="CL51" i="1"/>
  <c r="CN51" i="1"/>
  <c r="CO51" i="1"/>
  <c r="CP51" i="1"/>
  <c r="CQ51" i="1"/>
  <c r="CR51" i="1"/>
  <c r="CS51" i="1"/>
  <c r="BG52" i="1"/>
  <c r="BH52" i="1"/>
  <c r="BI52" i="1"/>
  <c r="BJ52" i="1"/>
  <c r="BK52" i="1"/>
  <c r="BL52" i="1"/>
  <c r="BM52" i="1"/>
  <c r="BN52" i="1"/>
  <c r="BO52" i="1"/>
  <c r="BQ52" i="1"/>
  <c r="BR52" i="1"/>
  <c r="BT52" i="1"/>
  <c r="BU52" i="1"/>
  <c r="BV52" i="1"/>
  <c r="BY52" i="1"/>
  <c r="BZ52" i="1"/>
  <c r="CA52" i="1"/>
  <c r="CB52" i="1"/>
  <c r="CC52" i="1"/>
  <c r="CD52" i="1"/>
  <c r="CE52" i="1"/>
  <c r="CF52" i="1"/>
  <c r="CH52" i="1"/>
  <c r="CI52" i="1"/>
  <c r="CJ52" i="1"/>
  <c r="CK52" i="1"/>
  <c r="CL52" i="1"/>
  <c r="CN52" i="1"/>
  <c r="CO52" i="1"/>
  <c r="CP52" i="1"/>
  <c r="CQ52" i="1"/>
  <c r="CR52" i="1"/>
  <c r="CS52" i="1"/>
  <c r="BG53" i="1"/>
  <c r="BH53" i="1"/>
  <c r="BI53" i="1"/>
  <c r="BJ53" i="1"/>
  <c r="BK53" i="1"/>
  <c r="BL53" i="1"/>
  <c r="BM53" i="1"/>
  <c r="BN53" i="1"/>
  <c r="BO53" i="1"/>
  <c r="BQ53" i="1"/>
  <c r="BR53" i="1"/>
  <c r="BT53" i="1"/>
  <c r="BU53" i="1"/>
  <c r="BV53" i="1"/>
  <c r="BY53" i="1"/>
  <c r="BZ53" i="1"/>
  <c r="CA53" i="1"/>
  <c r="CB53" i="1"/>
  <c r="CC53" i="1"/>
  <c r="CD53" i="1"/>
  <c r="CE53" i="1"/>
  <c r="CF53" i="1"/>
  <c r="CH53" i="1"/>
  <c r="CI53" i="1"/>
  <c r="CJ53" i="1"/>
  <c r="CK53" i="1"/>
  <c r="CL53" i="1"/>
  <c r="CN53" i="1"/>
  <c r="CO53" i="1"/>
  <c r="CP53" i="1"/>
  <c r="CQ53" i="1"/>
  <c r="CR53" i="1"/>
  <c r="CS53" i="1"/>
  <c r="BG54" i="1"/>
  <c r="BH54" i="1"/>
  <c r="BI54" i="1"/>
  <c r="BJ54" i="1"/>
  <c r="BK54" i="1"/>
  <c r="BL54" i="1"/>
  <c r="BM54" i="1"/>
  <c r="BN54" i="1"/>
  <c r="BO54" i="1"/>
  <c r="BQ54" i="1"/>
  <c r="BR54" i="1"/>
  <c r="BT54" i="1"/>
  <c r="BU54" i="1"/>
  <c r="BV54" i="1"/>
  <c r="BY54" i="1"/>
  <c r="BZ54" i="1"/>
  <c r="CA54" i="1"/>
  <c r="CB54" i="1"/>
  <c r="CC54" i="1"/>
  <c r="CD54" i="1"/>
  <c r="CE54" i="1"/>
  <c r="CF54" i="1"/>
  <c r="CH54" i="1"/>
  <c r="CI54" i="1"/>
  <c r="CJ54" i="1"/>
  <c r="CK54" i="1"/>
  <c r="CL54" i="1"/>
  <c r="CN54" i="1"/>
  <c r="CO54" i="1"/>
  <c r="CP54" i="1"/>
  <c r="CQ54" i="1"/>
  <c r="CR54" i="1"/>
  <c r="CS54" i="1"/>
  <c r="BG55" i="1"/>
  <c r="BH55" i="1"/>
  <c r="BI55" i="1"/>
  <c r="BJ55" i="1"/>
  <c r="BK55" i="1"/>
  <c r="BL55" i="1"/>
  <c r="BM55" i="1"/>
  <c r="BN55" i="1"/>
  <c r="BO55" i="1"/>
  <c r="BQ55" i="1"/>
  <c r="BR55" i="1"/>
  <c r="BT55" i="1"/>
  <c r="BU55" i="1"/>
  <c r="BV55" i="1"/>
  <c r="BY55" i="1"/>
  <c r="BZ55" i="1"/>
  <c r="CA55" i="1"/>
  <c r="CB55" i="1"/>
  <c r="CC55" i="1"/>
  <c r="CD55" i="1"/>
  <c r="CE55" i="1"/>
  <c r="CF55" i="1"/>
  <c r="CH55" i="1"/>
  <c r="CI55" i="1"/>
  <c r="CJ55" i="1"/>
  <c r="CK55" i="1"/>
  <c r="CL55" i="1"/>
  <c r="CN55" i="1"/>
  <c r="CO55" i="1"/>
  <c r="CP55" i="1"/>
  <c r="CQ55" i="1"/>
  <c r="CR55" i="1"/>
  <c r="CS55" i="1"/>
  <c r="BG56" i="1"/>
  <c r="BH56" i="1"/>
  <c r="BI56" i="1"/>
  <c r="BJ56" i="1"/>
  <c r="BK56" i="1"/>
  <c r="BL56" i="1"/>
  <c r="BM56" i="1"/>
  <c r="BN56" i="1"/>
  <c r="BO56" i="1"/>
  <c r="BQ56" i="1"/>
  <c r="BR56" i="1"/>
  <c r="BT56" i="1"/>
  <c r="BU56" i="1"/>
  <c r="BV56" i="1"/>
  <c r="BY56" i="1"/>
  <c r="BZ56" i="1"/>
  <c r="CA56" i="1"/>
  <c r="CB56" i="1"/>
  <c r="CC56" i="1"/>
  <c r="CD56" i="1"/>
  <c r="CE56" i="1"/>
  <c r="CF56" i="1"/>
  <c r="CH56" i="1"/>
  <c r="CI56" i="1"/>
  <c r="CJ56" i="1"/>
  <c r="CK56" i="1"/>
  <c r="CL56" i="1"/>
  <c r="CN56" i="1"/>
  <c r="CO56" i="1"/>
  <c r="CP56" i="1"/>
  <c r="CQ56" i="1"/>
  <c r="CR56" i="1"/>
  <c r="CS56" i="1"/>
  <c r="BG57" i="1"/>
  <c r="BH57" i="1"/>
  <c r="BI57" i="1"/>
  <c r="BJ57" i="1"/>
  <c r="BK57" i="1"/>
  <c r="BL57" i="1"/>
  <c r="BM57" i="1"/>
  <c r="BN57" i="1"/>
  <c r="BO57" i="1"/>
  <c r="BQ57" i="1"/>
  <c r="BR57" i="1"/>
  <c r="BS57" i="1"/>
  <c r="BT57" i="1"/>
  <c r="BU57" i="1"/>
  <c r="BV57" i="1"/>
  <c r="BY57" i="1"/>
  <c r="BZ57" i="1"/>
  <c r="CA57" i="1"/>
  <c r="CB57" i="1"/>
  <c r="CC57" i="1"/>
  <c r="CD57" i="1"/>
  <c r="CE57" i="1"/>
  <c r="CF57" i="1"/>
  <c r="CH57" i="1"/>
  <c r="CI57" i="1"/>
  <c r="CJ57" i="1"/>
  <c r="CK57" i="1"/>
  <c r="CL57" i="1"/>
  <c r="CN57" i="1"/>
  <c r="CO57" i="1"/>
  <c r="CP57" i="1"/>
  <c r="CQ57" i="1"/>
  <c r="CR57" i="1"/>
  <c r="CS57" i="1"/>
  <c r="BR7" i="1"/>
  <c r="BM7" i="1"/>
  <c r="CS7" i="1"/>
  <c r="CR7" i="1"/>
  <c r="CQ7" i="1"/>
  <c r="CP7" i="1"/>
  <c r="CO7" i="1"/>
  <c r="CN7" i="1"/>
  <c r="CL7" i="1"/>
  <c r="CK7" i="1"/>
  <c r="CJ7" i="1"/>
  <c r="CG7" i="1"/>
  <c r="CE7" i="1"/>
  <c r="CD7" i="1"/>
  <c r="CC7" i="1"/>
  <c r="CA7" i="1"/>
  <c r="BZ7" i="1"/>
  <c r="BY7" i="1"/>
  <c r="BV7" i="1"/>
  <c r="BU7" i="1"/>
  <c r="BT7" i="1"/>
  <c r="CB7" i="1"/>
  <c r="CF7" i="1"/>
  <c r="CH7" i="1"/>
  <c r="CI7" i="1"/>
  <c r="BN7" i="1"/>
  <c r="BO7" i="1"/>
  <c r="BP7" i="1"/>
  <c r="BQ7" i="1"/>
  <c r="BL7" i="1"/>
  <c r="BK7" i="1"/>
  <c r="BJ7" i="1"/>
  <c r="BI7" i="1"/>
  <c r="BH7" i="1"/>
  <c r="BG7" i="1"/>
</calcChain>
</file>

<file path=xl/sharedStrings.xml><?xml version="1.0" encoding="utf-8"?>
<sst xmlns="http://schemas.openxmlformats.org/spreadsheetml/2006/main" count="402" uniqueCount="252">
  <si>
    <t>MDA Feb'26 Concurrent Monitoring Data &amp; Indicators</t>
  </si>
  <si>
    <t>Data till 15 Mar 2026 monitoring (Only Shahjahanpur updated)</t>
  </si>
  <si>
    <t>District Name</t>
  </si>
  <si>
    <t>Planning Unit Name</t>
  </si>
  <si>
    <t>Block Name</t>
  </si>
  <si>
    <t>Sum of Monitoring_Done</t>
  </si>
  <si>
    <t>Sum of Team_Visited_Area_Y</t>
  </si>
  <si>
    <t>Sum of No. of teams not found working</t>
  </si>
  <si>
    <t>Sum of Reason_TeamNotTurnedUp</t>
  </si>
  <si>
    <t>Sum of Reason_MP_Changed</t>
  </si>
  <si>
    <t>Sum of Reason_TeamNotaware</t>
  </si>
  <si>
    <t>Sum of Reason_Other</t>
  </si>
  <si>
    <t>Sum of MONITOR_MET_DA_TEAM_Y</t>
  </si>
  <si>
    <t>Sum of Log_Indelible_Marker_Y</t>
  </si>
  <si>
    <t>Sum of Log_Chalk_Y</t>
  </si>
  <si>
    <t>Sum of Log_FamilyReg_Y</t>
  </si>
  <si>
    <t>Sum of Log_DosePole_Y</t>
  </si>
  <si>
    <t>Sum of Measuring_Tape_Avl_Y</t>
  </si>
  <si>
    <t>Sum of Log_None</t>
  </si>
  <si>
    <t>Sum of MP_AVL_WITH_DA</t>
  </si>
  <si>
    <t>Sum of DA_WORKING_AS_PER_MP</t>
  </si>
  <si>
    <t>Sum of NO_OF_DA_AS_PER_MICROPLAN_D1</t>
  </si>
  <si>
    <t>Sum of NO_OF_DA_AS_PER_MICROPLAN_B</t>
  </si>
  <si>
    <t>Sum of NO_OF_DA_AS_PER_MICROPLAN_None</t>
  </si>
  <si>
    <t>Sum of DA_Trained_Either (D1)</t>
  </si>
  <si>
    <t>Sum of Teams with atleast 1 DA Trained</t>
  </si>
  <si>
    <t>Sum of DA_Trained_Both</t>
  </si>
  <si>
    <t>Sum of DA_Trained_None</t>
  </si>
  <si>
    <t>Sum of DA_WITH_MDA_BASIC_KNOWLEDGE_1</t>
  </si>
  <si>
    <t>Sum of DA_WITH_MDA_BASIC_KNOWLEDGE_2</t>
  </si>
  <si>
    <t>Sum of Teams with atleast 1 DA with Basic Knowledge</t>
  </si>
  <si>
    <t>Sum of DA_WITH_MDA_BASIC_KNOWLEDGE_0</t>
  </si>
  <si>
    <t>Sum of IVM_Adq_Avl_Y</t>
  </si>
  <si>
    <t>Sum of DEC_Adq_Avl_Y</t>
  </si>
  <si>
    <t>Sum of ALB_Adq_Avl_Y</t>
  </si>
  <si>
    <t>Sum of NO_PERSONS_APPROACHED_#</t>
  </si>
  <si>
    <t>Sum of NO_PERSONS_ADMN_DRUGS_#</t>
  </si>
  <si>
    <t>Sum of NO_PERSONS_REFUSED_DRUGS_#</t>
  </si>
  <si>
    <t>Sum of No. of teams with any refusal</t>
  </si>
  <si>
    <t>Sum of IS_HIGH_REFUSAL_VILLAGE_Y</t>
  </si>
  <si>
    <t>Sum of NEW_LF_CASES_LISTING_IN_REGISTER_Y</t>
  </si>
  <si>
    <t>Sum of LF_LineList_Updated_before_MDA_Y</t>
  </si>
  <si>
    <t>Sum of Family_Reg_Updated_Y</t>
  </si>
  <si>
    <t>Sum of LAST_DAY_MISSED_BENEFICIARIES_COVERED_Y</t>
  </si>
  <si>
    <t>Sum of Last_Day_Missed_Benef_Covered_N</t>
  </si>
  <si>
    <t>Sum of Teams with Supervisor Visit_0</t>
  </si>
  <si>
    <t>Sum of Teams with Supervisor Visit_1</t>
  </si>
  <si>
    <t>Sum of Teams with Supervisor Visit_2</t>
  </si>
  <si>
    <t>Sum of Teams with Supervisor Visit_3</t>
  </si>
  <si>
    <t>Sum of Teams with Supervisor Visit_4</t>
  </si>
  <si>
    <t>Sum of Teams with Supervisor Visit_5</t>
  </si>
  <si>
    <t>Sum of Teams with Supervisor Visit_6</t>
  </si>
  <si>
    <t>Sum of Teams with Supervisor Visit_7 or &gt;7</t>
  </si>
  <si>
    <t>MDA Concurrent Monitoring Indicators</t>
  </si>
  <si>
    <t>IDA / DA</t>
  </si>
  <si>
    <t>No. of Teams Monitored</t>
  </si>
  <si>
    <t>No. of Teams Visited Area</t>
  </si>
  <si>
    <t>No. of teams not found working</t>
  </si>
  <si>
    <t>No. of Teams with Reason_TeamNotTurnedUp</t>
  </si>
  <si>
    <t>No. of Teams with Reason_MP_Changed</t>
  </si>
  <si>
    <t>No. of Teams with Reason_Team Not aware</t>
  </si>
  <si>
    <t>No. of Teams with Reason_Other</t>
  </si>
  <si>
    <t>No. of Teams MONITOR MET</t>
  </si>
  <si>
    <t>No. of Teams with Indelible Marker Pen available</t>
  </si>
  <si>
    <t>No. of Teams with Chalk available</t>
  </si>
  <si>
    <t>No. of Teams with Family Reg available</t>
  </si>
  <si>
    <t>No. of Teams with Dose Pole/Measuring Tape available</t>
  </si>
  <si>
    <t>No. of Teams with None Logistics available</t>
  </si>
  <si>
    <t>No. of Teams with MP Available</t>
  </si>
  <si>
    <t>No. of Teams working as per MP</t>
  </si>
  <si>
    <t>No. of Teams with 1 DA as per Microplan</t>
  </si>
  <si>
    <t>No. of Teams with both DA as per Microplan</t>
  </si>
  <si>
    <t>No. of Teams with None DA as per Microplan</t>
  </si>
  <si>
    <t>No. of Teams with a male member</t>
  </si>
  <si>
    <t>No. of Teams with male member as per Microplan</t>
  </si>
  <si>
    <t>No. of teams with 1 DA Trained</t>
  </si>
  <si>
    <t>No. of Teams with atleast 1 DA Trained</t>
  </si>
  <si>
    <t>No. of teams with both DA Trained</t>
  </si>
  <si>
    <t>No. of teams with None DA Trained</t>
  </si>
  <si>
    <t>No. of Teams with 1 DA having basic knowledge</t>
  </si>
  <si>
    <t>No. of Teams with both DA having basic knowledge</t>
  </si>
  <si>
    <t>No. of Teams with atleast 1 DA having Basic Knowledge</t>
  </si>
  <si>
    <t>No. of Teams with None DA having basic knowledge</t>
  </si>
  <si>
    <t>No. of teams with adequate Ivermectin available</t>
  </si>
  <si>
    <t>No. of teams with adequate DEC available</t>
  </si>
  <si>
    <t>No. of teams with adequate ALB available</t>
  </si>
  <si>
    <t>No. of Persons Approached</t>
  </si>
  <si>
    <t>No. of Persons Administered drugs</t>
  </si>
  <si>
    <t>No. of Persons Refused to take drugs</t>
  </si>
  <si>
    <t>No. of teams with any refusal</t>
  </si>
  <si>
    <t>No. of teams with Mass refusal</t>
  </si>
  <si>
    <t>No. of teams noting down the details of newly found LF cases in family register</t>
  </si>
  <si>
    <t>No. of Teams with Line listing of LF cases updated before the MDA round</t>
  </si>
  <si>
    <t>No. of Teams with family register updated simultaneously</t>
  </si>
  <si>
    <t>No. of teams trying to cover missed beneficiaries of previous days</t>
  </si>
  <si>
    <t>No. of teams NOT trying to cover missed beneficiaries of previous days</t>
  </si>
  <si>
    <t>No. of Teams with Supervisor Visit_0</t>
  </si>
  <si>
    <t>No. of Teams with Supervisor Visit_1</t>
  </si>
  <si>
    <t>No. of Teams with Supervisor Visit_2</t>
  </si>
  <si>
    <t>No. of Teams with Supervisor Visit_3</t>
  </si>
  <si>
    <t>No. of Teams with Supervisor Visit_4</t>
  </si>
  <si>
    <t>No. of Teams with Supervisor Visit_5</t>
  </si>
  <si>
    <t>No. of Teams with Supervisor Visit_6</t>
  </si>
  <si>
    <t>No. of Teams with Supervisor Visit_7 or &gt;7</t>
  </si>
  <si>
    <t>No. of teams whose Supervisor ever visited the Team area</t>
  </si>
  <si>
    <t>% of Teams Visited Area</t>
  </si>
  <si>
    <t>% teams not found working</t>
  </si>
  <si>
    <t>% of Teams with Reason_TeamNotTurnedUp</t>
  </si>
  <si>
    <t>% of Teams with Reason_MP_Changed</t>
  </si>
  <si>
    <t>% of Teams with Reason_Team Not aware</t>
  </si>
  <si>
    <t>% of Teams with Reason_Other</t>
  </si>
  <si>
    <t>% of Teams with Indelible Marker Pen available</t>
  </si>
  <si>
    <t>% of Teams with Chalk available</t>
  </si>
  <si>
    <t>% of Teams with Family Reg available</t>
  </si>
  <si>
    <t>% of Teams with Dose Pole/Measuring Tape available</t>
  </si>
  <si>
    <t>% of Teams with None Logistics available</t>
  </si>
  <si>
    <t>% of Teams with MP Available</t>
  </si>
  <si>
    <t>% of Teams working as per MP</t>
  </si>
  <si>
    <t>% of Teams with 1 DA as per Microplan</t>
  </si>
  <si>
    <t>% of Teams with both DA as per Microplan</t>
  </si>
  <si>
    <t>% of Teams with None DA as per Microplan</t>
  </si>
  <si>
    <t>% of Teams with a male member</t>
  </si>
  <si>
    <t>% of Teams with male member as per Microplan</t>
  </si>
  <si>
    <t>% of teams with 1 DA Trained</t>
  </si>
  <si>
    <t>% of Teams with atleast 1 DA Trained</t>
  </si>
  <si>
    <t>% of teams with both DA Trained</t>
  </si>
  <si>
    <t>% of teams with None DA Trained</t>
  </si>
  <si>
    <t>% of Teams with 1 DA having basic knowledge</t>
  </si>
  <si>
    <t>% of Teams with both DA having basic knowledge</t>
  </si>
  <si>
    <t>% of Teams with atleast 1 DA having Basic Knowledge</t>
  </si>
  <si>
    <t>% of Teams with None DA having basic knowledge</t>
  </si>
  <si>
    <t>% of teams with adequate Ivermectin available</t>
  </si>
  <si>
    <t>% of teams with adequate DEC available</t>
  </si>
  <si>
    <t>% of teams with adequate ALB available</t>
  </si>
  <si>
    <t>% Persons Administered drugs</t>
  </si>
  <si>
    <t>% Persons Refused to consume drugs</t>
  </si>
  <si>
    <t>% of teams with any refusal</t>
  </si>
  <si>
    <t>% of teams noting down the details of newly found LF cases in family register</t>
  </si>
  <si>
    <t>% of Teams with Line listing of LF cases updated before the MDA round</t>
  </si>
  <si>
    <t>% of Teams with family register updated simultaneously</t>
  </si>
  <si>
    <t>% of teams trying to cover missed beneficiaries of previous days</t>
  </si>
  <si>
    <t>% of Teams with No Supervisor Visit</t>
  </si>
  <si>
    <t>% of teams whose Supervisor ever visited the Team area</t>
  </si>
  <si>
    <t>AURAIYA</t>
  </si>
  <si>
    <t>AUR_SHAHABDA</t>
  </si>
  <si>
    <t>IDA</t>
  </si>
  <si>
    <t>AURAIYA Total</t>
  </si>
  <si>
    <t>BAHRAICH</t>
  </si>
  <si>
    <t>BRC_JARWAL</t>
  </si>
  <si>
    <t>BAHRAICH Total</t>
  </si>
  <si>
    <t>BANDA</t>
  </si>
  <si>
    <t>BNA_NARAINI</t>
  </si>
  <si>
    <t>BANDA Total</t>
  </si>
  <si>
    <t>BARABANKI</t>
  </si>
  <si>
    <t>BBK_HARAKH</t>
  </si>
  <si>
    <t>BBK_JATABAROLI</t>
  </si>
  <si>
    <t>BBK_RAMNAGAR</t>
  </si>
  <si>
    <t>BBK_SIDHAUR</t>
  </si>
  <si>
    <t>BBK_DARIYABAD</t>
  </si>
  <si>
    <t>BBK_PPC URBAN</t>
  </si>
  <si>
    <t>BBK_DEWA</t>
  </si>
  <si>
    <t>BARABANKI Total</t>
  </si>
  <si>
    <t>FATEHPUR</t>
  </si>
  <si>
    <t>FTP_BAHUWA</t>
  </si>
  <si>
    <t>FATEHPUR Total</t>
  </si>
  <si>
    <t>HARDOI</t>
  </si>
  <si>
    <t>HDO_SURSA</t>
  </si>
  <si>
    <t>HDO_KACHOUNA</t>
  </si>
  <si>
    <t>HARDOI Total</t>
  </si>
  <si>
    <t>KAUSHAMBI</t>
  </si>
  <si>
    <t>KSM_CHAIL</t>
  </si>
  <si>
    <t>KSM_SARSWAAN</t>
  </si>
  <si>
    <t>KAUSHAMBI Total</t>
  </si>
  <si>
    <t>KHERI</t>
  </si>
  <si>
    <t>KRI_BANKEYGANJ</t>
  </si>
  <si>
    <t>KHERI Total</t>
  </si>
  <si>
    <t>PRAYAGRAJ</t>
  </si>
  <si>
    <t>AHB_KOTWA</t>
  </si>
  <si>
    <t>AHB_RAMNAGAR</t>
  </si>
  <si>
    <t>PRAYAGRAJ Total</t>
  </si>
  <si>
    <t>RAEBARELI</t>
  </si>
  <si>
    <t>RBL_SHIVGARH</t>
  </si>
  <si>
    <t>RAEBARELI Total</t>
  </si>
  <si>
    <t>UNNAO</t>
  </si>
  <si>
    <t>UNN_BIGHAPUR</t>
  </si>
  <si>
    <t>UNN_PURWA</t>
  </si>
  <si>
    <t>UNN_GANJ MORADABAD</t>
  </si>
  <si>
    <t>UNN_SUMERPUR</t>
  </si>
  <si>
    <t>UNNAO Total</t>
  </si>
  <si>
    <t>BALLIA</t>
  </si>
  <si>
    <t>BAL_BAIRIA</t>
  </si>
  <si>
    <t>BAL_BALLIA URBAN</t>
  </si>
  <si>
    <t>BAL_BELHARI</t>
  </si>
  <si>
    <t>BAL_BERUARWARI</t>
  </si>
  <si>
    <t>BAL_CHILKAHAR</t>
  </si>
  <si>
    <t>BAL_DUBHAR</t>
  </si>
  <si>
    <t>BAL_GARWAR</t>
  </si>
  <si>
    <t>BAL_HANUMANGANJ</t>
  </si>
  <si>
    <t>BAL_MURLI CHHAPRA</t>
  </si>
  <si>
    <t>BAL_RASRA</t>
  </si>
  <si>
    <t>BAL_REWATI</t>
  </si>
  <si>
    <t>BAL_BANSDIH</t>
  </si>
  <si>
    <t>BALLIA Total</t>
  </si>
  <si>
    <t>LUCKNOW</t>
  </si>
  <si>
    <t>LNO_MALL</t>
  </si>
  <si>
    <t>LUCKNOW Total</t>
  </si>
  <si>
    <t>PILIBHIT</t>
  </si>
  <si>
    <t>PIL_POORANPUR</t>
  </si>
  <si>
    <t>PILIBHIT Total</t>
  </si>
  <si>
    <t>PRATAPGARH</t>
  </si>
  <si>
    <t>PTG_SUKHPAL NAGAR</t>
  </si>
  <si>
    <t>PTG_AMARGARH</t>
  </si>
  <si>
    <t>PTG_KUSWAPUR</t>
  </si>
  <si>
    <t>PRATAPGARH Total</t>
  </si>
  <si>
    <t>SONBHADRA</t>
  </si>
  <si>
    <t>SBD_GHORAWAL</t>
  </si>
  <si>
    <t>SBD_KAKRAHI</t>
  </si>
  <si>
    <t>SONBHADRA Total</t>
  </si>
  <si>
    <t>SHAHJAHANPUR</t>
  </si>
  <si>
    <t>SHA_BHAWAL KHERA</t>
  </si>
  <si>
    <t>SHA_JALALABAD</t>
  </si>
  <si>
    <t>SHA_MIRZAPUR</t>
  </si>
  <si>
    <t>SHA_SHAHAJAHANPUR CITY</t>
  </si>
  <si>
    <t>SHA_JAITIPUR</t>
  </si>
  <si>
    <t>SHA_KANTH</t>
  </si>
  <si>
    <t>SHA_KHUDAGANJ</t>
  </si>
  <si>
    <t>SHA_MADNAPUR</t>
  </si>
  <si>
    <t>SHA_NIGHOHI</t>
  </si>
  <si>
    <t>SHA_KALAN</t>
  </si>
  <si>
    <t>SHA_SINDHAULI</t>
  </si>
  <si>
    <t>SHA_DADROL</t>
  </si>
  <si>
    <t>SHA_POWAYAN</t>
  </si>
  <si>
    <t>SHAHJAHANPUR Total</t>
  </si>
  <si>
    <t>CHITRAKOOT</t>
  </si>
  <si>
    <t>CKT_SHIVRAMPUR</t>
  </si>
  <si>
    <t>CKT_MANIKPUR</t>
  </si>
  <si>
    <t>CKT_PPC KARVI</t>
  </si>
  <si>
    <t>CKT_PAHARI</t>
  </si>
  <si>
    <t>CHITRAKOOT Total</t>
  </si>
  <si>
    <t>AMBEDKAR NAGAR</t>
  </si>
  <si>
    <t>ABN_JALALPUR</t>
  </si>
  <si>
    <t>AMBEDKAR NAGAR Total</t>
  </si>
  <si>
    <t>BADOHI</t>
  </si>
  <si>
    <t>BDH_ABHOLI</t>
  </si>
  <si>
    <t>BDH_SURIYAWAN</t>
  </si>
  <si>
    <t>BADOHI Total</t>
  </si>
  <si>
    <t>AYODHYA</t>
  </si>
  <si>
    <t>FAI_MAYA BAZAR</t>
  </si>
  <si>
    <t>FAI_TARUN</t>
  </si>
  <si>
    <t>AYODHYA Total</t>
  </si>
  <si>
    <t>Grand Total</t>
  </si>
  <si>
    <t>64 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</si>
</sst>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/>
    <xf numFmtId="0" fontId="1" fillId="4" borderId="0" xfId="0" applyFont="1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1" xfId="0" applyFont="1" applyFill="1" applyBorder="1"/>
    <xf numFmtId="164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1" xfId="0" applyFont="1" applyFill="1" applyBorder="1"/>
    <xf numFmtId="1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theme="0" tint="-0.14996795556505021"/>
      </font>
    </dxf>
  </dxfs>
  <tableStyles count="0" defaultTableStyle="TableStyleMedium2" defaultPivotStyle="PivotStyleLight16"/>
  <colors>
    <mruColors>
      <color rgb="FFFF99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96"/>
  <sheetViews>
    <sheetView tabSelected="1" zoomScale="90" zoomScaleNormal="90" workbookViewId="0">
      <pane xSplit="4" ySplit="6" topLeftCell="CE73" activePane="bottomRight" state="frozen"/>
      <selection pane="bottomRight" activeCell="CP101" sqref="CP101"/>
      <selection pane="bottomLeft" activeCell="A7" sqref="A7"/>
      <selection pane="topRight" activeCell="E1" sqref="E1"/>
    </sheetView>
  </sheetViews>
  <sheetFormatPr defaultRowHeight="15"/>
  <cols>
    <col min="1" max="1" width="23" customWidth="1"/>
    <col min="2" max="2" width="25.85546875" customWidth="1"/>
    <col min="3" max="3" width="14.5703125" customWidth="1"/>
    <col min="4" max="6" width="11.5703125" customWidth="1"/>
    <col min="7" max="7" width="13.5703125" customWidth="1"/>
    <col min="8" max="8" width="12.5703125" customWidth="1"/>
    <col min="9" max="9" width="14.5703125" customWidth="1"/>
    <col min="10" max="10" width="11.42578125" customWidth="1"/>
    <col min="11" max="11" width="11.5703125" customWidth="1"/>
    <col min="12" max="12" width="13.85546875" customWidth="1"/>
    <col min="13" max="13" width="11.5703125" customWidth="1"/>
    <col min="14" max="14" width="13" customWidth="1"/>
    <col min="15" max="15" width="15" customWidth="1"/>
    <col min="16" max="28" width="11.5703125" customWidth="1"/>
    <col min="29" max="29" width="13.85546875" customWidth="1"/>
    <col min="30" max="30" width="13.7109375" customWidth="1"/>
    <col min="31" max="31" width="16.7109375" customWidth="1"/>
    <col min="32" max="35" width="13.7109375" customWidth="1"/>
    <col min="36" max="39" width="11.5703125" customWidth="1"/>
    <col min="40" max="40" width="13.7109375" customWidth="1"/>
    <col min="41" max="42" width="16.7109375" customWidth="1"/>
    <col min="43" max="43" width="15.5703125" customWidth="1"/>
    <col min="44" max="44" width="18.28515625" customWidth="1"/>
    <col min="45" max="45" width="14.28515625" customWidth="1"/>
    <col min="46" max="53" width="11.5703125" customWidth="1"/>
    <col min="54" max="54" width="15.28515625" customWidth="1"/>
    <col min="55" max="55" width="3.7109375" customWidth="1"/>
    <col min="56" max="60" width="11.5703125" customWidth="1"/>
    <col min="61" max="61" width="14.85546875" customWidth="1"/>
    <col min="62" max="62" width="11.5703125" customWidth="1"/>
    <col min="63" max="63" width="13.140625" customWidth="1"/>
    <col min="64" max="64" width="11.42578125" customWidth="1"/>
    <col min="65" max="65" width="12.7109375" customWidth="1"/>
    <col min="66" max="67" width="11.5703125" customWidth="1"/>
    <col min="68" max="68" width="16.42578125" customWidth="1"/>
    <col min="69" max="72" width="13.42578125" customWidth="1"/>
    <col min="73" max="84" width="14.140625" customWidth="1"/>
    <col min="85" max="85" width="13.7109375" customWidth="1"/>
    <col min="86" max="86" width="13.42578125" customWidth="1"/>
    <col min="87" max="87" width="14.140625" customWidth="1"/>
    <col min="88" max="88" width="13.28515625" customWidth="1"/>
    <col min="89" max="90" width="14.140625" customWidth="1"/>
    <col min="91" max="91" width="13.28515625" customWidth="1"/>
    <col min="92" max="92" width="17.140625" customWidth="1"/>
    <col min="93" max="93" width="18.85546875" customWidth="1"/>
    <col min="94" max="94" width="18.140625" customWidth="1"/>
    <col min="95" max="95" width="15.42578125" customWidth="1"/>
    <col min="96" max="96" width="11.5703125" customWidth="1"/>
    <col min="97" max="97" width="14.42578125" customWidth="1"/>
  </cols>
  <sheetData>
    <row r="1" spans="1:97" ht="18.75">
      <c r="A1" s="6" t="s">
        <v>0</v>
      </c>
    </row>
    <row r="2" spans="1:97">
      <c r="A2" s="7" t="s">
        <v>1</v>
      </c>
    </row>
    <row r="3" spans="1:97" hidden="1"/>
    <row r="4" spans="1:97" ht="75" hidden="1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/>
      <c r="X4" s="4"/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43</v>
      </c>
      <c r="AS4" s="4" t="s">
        <v>44</v>
      </c>
      <c r="AT4" s="4" t="s">
        <v>45</v>
      </c>
      <c r="AU4" s="4" t="s">
        <v>46</v>
      </c>
      <c r="AV4" s="4" t="s">
        <v>47</v>
      </c>
      <c r="AW4" s="4" t="s">
        <v>48</v>
      </c>
      <c r="AX4" s="4" t="s">
        <v>49</v>
      </c>
      <c r="AY4" s="4" t="s">
        <v>50</v>
      </c>
      <c r="AZ4" s="4" t="s">
        <v>51</v>
      </c>
      <c r="BA4" s="4" t="s">
        <v>52</v>
      </c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2"/>
      <c r="CE4" s="2"/>
    </row>
    <row r="5" spans="1:97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2"/>
      <c r="P5" s="15"/>
      <c r="Q5" s="15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2"/>
      <c r="AH5" s="3"/>
      <c r="AI5" s="3"/>
      <c r="AJ5" s="3"/>
      <c r="AK5" s="3"/>
      <c r="AL5" s="3"/>
      <c r="AM5" s="3"/>
      <c r="AN5" s="13"/>
      <c r="AO5" s="1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5" t="s">
        <v>53</v>
      </c>
      <c r="BH5" s="3"/>
      <c r="BI5" s="3"/>
      <c r="BJ5" s="3"/>
      <c r="BK5" s="3"/>
      <c r="BL5" s="3"/>
      <c r="BM5" s="3"/>
      <c r="BN5" s="3"/>
      <c r="BO5" s="3"/>
      <c r="BP5" s="12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1"/>
      <c r="CE5" s="1"/>
      <c r="CG5" s="14"/>
    </row>
    <row r="6" spans="1:97" ht="76.900000000000006" customHeight="1">
      <c r="A6" s="38" t="s">
        <v>2</v>
      </c>
      <c r="B6" s="38" t="s">
        <v>3</v>
      </c>
      <c r="C6" s="39" t="s">
        <v>54</v>
      </c>
      <c r="D6" s="40" t="s">
        <v>55</v>
      </c>
      <c r="E6" s="40" t="s">
        <v>56</v>
      </c>
      <c r="F6" s="40" t="s">
        <v>57</v>
      </c>
      <c r="G6" s="40" t="s">
        <v>58</v>
      </c>
      <c r="H6" s="40" t="s">
        <v>59</v>
      </c>
      <c r="I6" s="40" t="s">
        <v>60</v>
      </c>
      <c r="J6" s="40" t="s">
        <v>61</v>
      </c>
      <c r="K6" s="40" t="s">
        <v>62</v>
      </c>
      <c r="L6" s="40" t="s">
        <v>63</v>
      </c>
      <c r="M6" s="40" t="s">
        <v>64</v>
      </c>
      <c r="N6" s="40" t="s">
        <v>65</v>
      </c>
      <c r="O6" s="40" t="s">
        <v>66</v>
      </c>
      <c r="P6" s="40"/>
      <c r="Q6" s="40" t="s">
        <v>67</v>
      </c>
      <c r="R6" s="40" t="s">
        <v>68</v>
      </c>
      <c r="S6" s="40" t="s">
        <v>69</v>
      </c>
      <c r="T6" s="40" t="s">
        <v>70</v>
      </c>
      <c r="U6" s="40" t="s">
        <v>71</v>
      </c>
      <c r="V6" s="40" t="s">
        <v>72</v>
      </c>
      <c r="W6" s="40" t="s">
        <v>73</v>
      </c>
      <c r="X6" s="40" t="s">
        <v>74</v>
      </c>
      <c r="Y6" s="40" t="s">
        <v>75</v>
      </c>
      <c r="Z6" s="40" t="s">
        <v>76</v>
      </c>
      <c r="AA6" s="40" t="s">
        <v>77</v>
      </c>
      <c r="AB6" s="40" t="s">
        <v>78</v>
      </c>
      <c r="AC6" s="40" t="s">
        <v>79</v>
      </c>
      <c r="AD6" s="40" t="s">
        <v>80</v>
      </c>
      <c r="AE6" s="40" t="s">
        <v>81</v>
      </c>
      <c r="AF6" s="40" t="s">
        <v>82</v>
      </c>
      <c r="AG6" s="40" t="s">
        <v>83</v>
      </c>
      <c r="AH6" s="40" t="s">
        <v>84</v>
      </c>
      <c r="AI6" s="40" t="s">
        <v>85</v>
      </c>
      <c r="AJ6" s="40" t="s">
        <v>86</v>
      </c>
      <c r="AK6" s="40" t="s">
        <v>87</v>
      </c>
      <c r="AL6" s="40" t="s">
        <v>88</v>
      </c>
      <c r="AM6" s="40" t="s">
        <v>89</v>
      </c>
      <c r="AN6" s="41" t="s">
        <v>90</v>
      </c>
      <c r="AO6" s="40" t="s">
        <v>91</v>
      </c>
      <c r="AP6" s="40" t="s">
        <v>92</v>
      </c>
      <c r="AQ6" s="40" t="s">
        <v>93</v>
      </c>
      <c r="AR6" s="40" t="s">
        <v>94</v>
      </c>
      <c r="AS6" s="40" t="s">
        <v>95</v>
      </c>
      <c r="AT6" s="40" t="s">
        <v>96</v>
      </c>
      <c r="AU6" s="40" t="s">
        <v>97</v>
      </c>
      <c r="AV6" s="40" t="s">
        <v>98</v>
      </c>
      <c r="AW6" s="40" t="s">
        <v>99</v>
      </c>
      <c r="AX6" s="40" t="s">
        <v>100</v>
      </c>
      <c r="AY6" s="40" t="s">
        <v>101</v>
      </c>
      <c r="AZ6" s="40" t="s">
        <v>102</v>
      </c>
      <c r="BA6" s="40" t="s">
        <v>103</v>
      </c>
      <c r="BB6" s="40" t="s">
        <v>104</v>
      </c>
      <c r="BC6" s="40"/>
      <c r="BD6" s="40"/>
      <c r="BE6" s="40"/>
      <c r="BF6" s="40"/>
      <c r="BG6" s="42" t="s">
        <v>105</v>
      </c>
      <c r="BH6" s="42" t="s">
        <v>106</v>
      </c>
      <c r="BI6" s="42" t="s">
        <v>107</v>
      </c>
      <c r="BJ6" s="42" t="s">
        <v>108</v>
      </c>
      <c r="BK6" s="42" t="s">
        <v>109</v>
      </c>
      <c r="BL6" s="42" t="s">
        <v>110</v>
      </c>
      <c r="BM6" s="42" t="s">
        <v>111</v>
      </c>
      <c r="BN6" s="42" t="s">
        <v>112</v>
      </c>
      <c r="BO6" s="42" t="s">
        <v>113</v>
      </c>
      <c r="BP6" s="42" t="s">
        <v>114</v>
      </c>
      <c r="BQ6" s="42" t="s">
        <v>115</v>
      </c>
      <c r="BR6" s="42" t="s">
        <v>116</v>
      </c>
      <c r="BS6" s="42" t="s">
        <v>117</v>
      </c>
      <c r="BT6" s="42" t="s">
        <v>118</v>
      </c>
      <c r="BU6" s="42" t="s">
        <v>119</v>
      </c>
      <c r="BV6" s="42" t="s">
        <v>120</v>
      </c>
      <c r="BW6" s="42" t="s">
        <v>121</v>
      </c>
      <c r="BX6" s="42" t="s">
        <v>122</v>
      </c>
      <c r="BY6" s="42" t="s">
        <v>123</v>
      </c>
      <c r="BZ6" s="42" t="s">
        <v>124</v>
      </c>
      <c r="CA6" s="42" t="s">
        <v>125</v>
      </c>
      <c r="CB6" s="42" t="s">
        <v>126</v>
      </c>
      <c r="CC6" s="42" t="s">
        <v>127</v>
      </c>
      <c r="CD6" s="42" t="s">
        <v>128</v>
      </c>
      <c r="CE6" s="42" t="s">
        <v>129</v>
      </c>
      <c r="CF6" s="42" t="s">
        <v>130</v>
      </c>
      <c r="CG6" s="42" t="s">
        <v>131</v>
      </c>
      <c r="CH6" s="42" t="s">
        <v>132</v>
      </c>
      <c r="CI6" s="42" t="s">
        <v>133</v>
      </c>
      <c r="CJ6" s="42" t="s">
        <v>134</v>
      </c>
      <c r="CK6" s="42" t="s">
        <v>135</v>
      </c>
      <c r="CL6" s="42" t="s">
        <v>136</v>
      </c>
      <c r="CM6" s="42"/>
      <c r="CN6" s="42" t="s">
        <v>137</v>
      </c>
      <c r="CO6" s="42" t="s">
        <v>138</v>
      </c>
      <c r="CP6" s="42" t="s">
        <v>139</v>
      </c>
      <c r="CQ6" s="42" t="s">
        <v>140</v>
      </c>
      <c r="CR6" s="42" t="s">
        <v>141</v>
      </c>
      <c r="CS6" s="42" t="s">
        <v>142</v>
      </c>
    </row>
    <row r="7" spans="1:97">
      <c r="A7" s="8" t="s">
        <v>143</v>
      </c>
      <c r="B7" s="8" t="s">
        <v>144</v>
      </c>
      <c r="C7" s="21" t="s">
        <v>145</v>
      </c>
      <c r="D7" s="9">
        <v>51</v>
      </c>
      <c r="E7" s="9">
        <v>42</v>
      </c>
      <c r="F7" s="9">
        <v>9</v>
      </c>
      <c r="G7" s="9">
        <v>9</v>
      </c>
      <c r="H7" s="9">
        <v>0</v>
      </c>
      <c r="I7" s="9">
        <v>0</v>
      </c>
      <c r="J7" s="9">
        <v>0</v>
      </c>
      <c r="K7" s="9">
        <v>40</v>
      </c>
      <c r="L7" s="9">
        <v>40</v>
      </c>
      <c r="M7" s="9">
        <v>40</v>
      </c>
      <c r="N7" s="9">
        <v>40</v>
      </c>
      <c r="O7" s="9">
        <v>39</v>
      </c>
      <c r="P7" s="9">
        <v>0</v>
      </c>
      <c r="Q7" s="9">
        <v>0</v>
      </c>
      <c r="R7" s="9">
        <v>40</v>
      </c>
      <c r="S7" s="9">
        <v>37</v>
      </c>
      <c r="T7" s="9">
        <v>4</v>
      </c>
      <c r="U7" s="9">
        <v>36</v>
      </c>
      <c r="V7" s="9">
        <v>0</v>
      </c>
      <c r="W7" s="9">
        <v>22</v>
      </c>
      <c r="X7" s="9">
        <v>22</v>
      </c>
      <c r="Y7" s="9">
        <v>7</v>
      </c>
      <c r="Z7" s="9">
        <v>40</v>
      </c>
      <c r="AA7" s="9">
        <v>33</v>
      </c>
      <c r="AB7" s="9">
        <v>0</v>
      </c>
      <c r="AC7" s="9">
        <v>37</v>
      </c>
      <c r="AD7" s="9">
        <v>3</v>
      </c>
      <c r="AE7" s="9">
        <v>40</v>
      </c>
      <c r="AF7" s="9">
        <v>0</v>
      </c>
      <c r="AG7" s="9">
        <v>40</v>
      </c>
      <c r="AH7" s="9">
        <v>40</v>
      </c>
      <c r="AI7" s="9">
        <v>40</v>
      </c>
      <c r="AJ7" s="9">
        <v>1658</v>
      </c>
      <c r="AK7" s="9">
        <v>1355</v>
      </c>
      <c r="AL7" s="9">
        <v>25</v>
      </c>
      <c r="AM7" s="9">
        <v>6</v>
      </c>
      <c r="AN7" s="9">
        <v>0</v>
      </c>
      <c r="AO7" s="9">
        <v>40</v>
      </c>
      <c r="AP7" s="9">
        <v>40</v>
      </c>
      <c r="AQ7" s="9">
        <v>40</v>
      </c>
      <c r="AR7" s="9">
        <v>21</v>
      </c>
      <c r="AS7" s="9">
        <v>19</v>
      </c>
      <c r="AT7" s="9">
        <v>0</v>
      </c>
      <c r="AU7" s="9">
        <v>0</v>
      </c>
      <c r="AV7" s="9">
        <v>5</v>
      </c>
      <c r="AW7" s="9">
        <v>5</v>
      </c>
      <c r="AX7" s="9">
        <v>2</v>
      </c>
      <c r="AY7" s="9">
        <v>6</v>
      </c>
      <c r="AZ7" s="9">
        <v>14</v>
      </c>
      <c r="BA7" s="9">
        <v>8</v>
      </c>
      <c r="BB7" s="9">
        <v>40</v>
      </c>
      <c r="BC7" s="18"/>
      <c r="BD7" s="9"/>
      <c r="BE7" s="9"/>
      <c r="BF7" s="9"/>
      <c r="BG7" s="10">
        <f>E7*100/D7</f>
        <v>82.352941176470594</v>
      </c>
      <c r="BH7" s="10">
        <f>F7*100/D7</f>
        <v>17.647058823529413</v>
      </c>
      <c r="BI7" s="10">
        <f>G7*100/F7</f>
        <v>100</v>
      </c>
      <c r="BJ7" s="10">
        <f>H7*100/F7</f>
        <v>0</v>
      </c>
      <c r="BK7" s="10">
        <f>I7*100/F7</f>
        <v>0</v>
      </c>
      <c r="BL7" s="10">
        <f>J7*100/F7</f>
        <v>0</v>
      </c>
      <c r="BM7" s="10">
        <f>L7*100/$K7</f>
        <v>100</v>
      </c>
      <c r="BN7" s="10">
        <f>M7*100/$K7</f>
        <v>100</v>
      </c>
      <c r="BO7" s="10">
        <f>N7*100/$K7</f>
        <v>100</v>
      </c>
      <c r="BP7" s="10">
        <f>O7*100/$K7</f>
        <v>97.5</v>
      </c>
      <c r="BQ7" s="10">
        <f>Q7*100/$K7</f>
        <v>0</v>
      </c>
      <c r="BR7" s="10">
        <f>R7*100/$K7</f>
        <v>100</v>
      </c>
      <c r="BS7" s="10">
        <f>S7*100/R7</f>
        <v>92.5</v>
      </c>
      <c r="BT7" s="10">
        <f>T7*100/$K7</f>
        <v>10</v>
      </c>
      <c r="BU7" s="10">
        <f>U7*100/$K7</f>
        <v>90</v>
      </c>
      <c r="BV7" s="10">
        <f>V7*100/$K7</f>
        <v>0</v>
      </c>
      <c r="BW7" s="10">
        <f t="shared" ref="BW7:BX22" si="0">W7*100/$K7</f>
        <v>55</v>
      </c>
      <c r="BX7" s="10">
        <f t="shared" si="0"/>
        <v>55</v>
      </c>
      <c r="BY7" s="10">
        <f t="shared" ref="BY7:CA7" si="1">Y7*100/$K7</f>
        <v>17.5</v>
      </c>
      <c r="BZ7" s="10">
        <f t="shared" si="1"/>
        <v>100</v>
      </c>
      <c r="CA7" s="10">
        <f t="shared" si="1"/>
        <v>82.5</v>
      </c>
      <c r="CB7" s="10">
        <f t="shared" ref="CB7" si="2">AB7*100/$K7</f>
        <v>0</v>
      </c>
      <c r="CC7" s="10">
        <f>AC7*100/$K7</f>
        <v>92.5</v>
      </c>
      <c r="CD7" s="10">
        <f>AD7*100/$K7</f>
        <v>7.5</v>
      </c>
      <c r="CE7" s="10">
        <f>AE7*100/$K7</f>
        <v>100</v>
      </c>
      <c r="CF7" s="10">
        <f t="shared" ref="CF7" si="3">AF7*100/$K7</f>
        <v>0</v>
      </c>
      <c r="CG7" s="10">
        <f>AG7*100/$K7</f>
        <v>100</v>
      </c>
      <c r="CH7" s="10">
        <f t="shared" ref="CH7" si="4">AH7*100/$K7</f>
        <v>100</v>
      </c>
      <c r="CI7" s="10">
        <f t="shared" ref="CI7" si="5">AI7*100/$K7</f>
        <v>100</v>
      </c>
      <c r="CJ7" s="10">
        <f>AK7*100/AJ7</f>
        <v>81.724969843184553</v>
      </c>
      <c r="CK7" s="10">
        <f>AL7*100/AJ7</f>
        <v>1.5078407720144753</v>
      </c>
      <c r="CL7" s="10">
        <f>AM7*100/$K7</f>
        <v>15</v>
      </c>
      <c r="CM7" s="10"/>
      <c r="CN7" s="10">
        <f>AO7*100/$K7</f>
        <v>100</v>
      </c>
      <c r="CO7" s="10">
        <f>AP7*100/$K7</f>
        <v>100</v>
      </c>
      <c r="CP7" s="10">
        <f>AQ7*100/$K7</f>
        <v>100</v>
      </c>
      <c r="CQ7" s="10">
        <f>AR7*100/(AR7+AS7)</f>
        <v>52.5</v>
      </c>
      <c r="CR7" s="10">
        <f>AT7*100/$K7</f>
        <v>0</v>
      </c>
      <c r="CS7" s="10">
        <f>BB7*100/$K7</f>
        <v>100</v>
      </c>
    </row>
    <row r="8" spans="1:97">
      <c r="A8" s="22" t="s">
        <v>146</v>
      </c>
      <c r="B8" s="22"/>
      <c r="C8" s="23" t="s">
        <v>145</v>
      </c>
      <c r="D8" s="24">
        <v>51</v>
      </c>
      <c r="E8" s="24">
        <v>42</v>
      </c>
      <c r="F8" s="24">
        <v>9</v>
      </c>
      <c r="G8" s="24">
        <v>9</v>
      </c>
      <c r="H8" s="24">
        <v>0</v>
      </c>
      <c r="I8" s="24">
        <v>0</v>
      </c>
      <c r="J8" s="24">
        <v>0</v>
      </c>
      <c r="K8" s="24">
        <v>40</v>
      </c>
      <c r="L8" s="24">
        <v>40</v>
      </c>
      <c r="M8" s="24">
        <v>40</v>
      </c>
      <c r="N8" s="24">
        <v>40</v>
      </c>
      <c r="O8" s="24">
        <v>39</v>
      </c>
      <c r="P8" s="24">
        <v>0</v>
      </c>
      <c r="Q8" s="24">
        <v>0</v>
      </c>
      <c r="R8" s="24">
        <v>40</v>
      </c>
      <c r="S8" s="24">
        <v>37</v>
      </c>
      <c r="T8" s="24">
        <v>4</v>
      </c>
      <c r="U8" s="24">
        <v>36</v>
      </c>
      <c r="V8" s="24">
        <v>0</v>
      </c>
      <c r="W8" s="24">
        <v>22</v>
      </c>
      <c r="X8" s="24">
        <v>22</v>
      </c>
      <c r="Y8" s="24">
        <v>7</v>
      </c>
      <c r="Z8" s="24">
        <v>40</v>
      </c>
      <c r="AA8" s="24">
        <v>33</v>
      </c>
      <c r="AB8" s="24">
        <v>0</v>
      </c>
      <c r="AC8" s="24">
        <v>37</v>
      </c>
      <c r="AD8" s="24">
        <v>3</v>
      </c>
      <c r="AE8" s="24">
        <v>40</v>
      </c>
      <c r="AF8" s="24">
        <v>0</v>
      </c>
      <c r="AG8" s="24">
        <v>40</v>
      </c>
      <c r="AH8" s="24">
        <v>40</v>
      </c>
      <c r="AI8" s="24">
        <v>40</v>
      </c>
      <c r="AJ8" s="24">
        <v>1658</v>
      </c>
      <c r="AK8" s="24">
        <v>1355</v>
      </c>
      <c r="AL8" s="24">
        <v>25</v>
      </c>
      <c r="AM8" s="24">
        <v>6</v>
      </c>
      <c r="AN8" s="24">
        <v>0</v>
      </c>
      <c r="AO8" s="24">
        <v>40</v>
      </c>
      <c r="AP8" s="24">
        <v>40</v>
      </c>
      <c r="AQ8" s="24">
        <v>40</v>
      </c>
      <c r="AR8" s="24">
        <v>21</v>
      </c>
      <c r="AS8" s="24">
        <v>19</v>
      </c>
      <c r="AT8" s="24">
        <v>0</v>
      </c>
      <c r="AU8" s="24">
        <v>0</v>
      </c>
      <c r="AV8" s="24">
        <v>5</v>
      </c>
      <c r="AW8" s="24">
        <v>5</v>
      </c>
      <c r="AX8" s="24">
        <v>2</v>
      </c>
      <c r="AY8" s="24">
        <v>6</v>
      </c>
      <c r="AZ8" s="24">
        <v>14</v>
      </c>
      <c r="BA8" s="24">
        <v>8</v>
      </c>
      <c r="BB8" s="24">
        <v>40</v>
      </c>
      <c r="BC8" s="25"/>
      <c r="BD8" s="24"/>
      <c r="BE8" s="24"/>
      <c r="BF8" s="24"/>
      <c r="BG8" s="26">
        <f t="shared" ref="BG8:BG42" si="6">E8*100/D8</f>
        <v>82.352941176470594</v>
      </c>
      <c r="BH8" s="26">
        <f t="shared" ref="BH8:BH42" si="7">F8*100/D8</f>
        <v>17.647058823529413</v>
      </c>
      <c r="BI8" s="26">
        <f t="shared" ref="BI8:BI42" si="8">G8*100/F8</f>
        <v>100</v>
      </c>
      <c r="BJ8" s="26">
        <f t="shared" ref="BJ8:BJ42" si="9">H8*100/F8</f>
        <v>0</v>
      </c>
      <c r="BK8" s="26">
        <f t="shared" ref="BK8:BK42" si="10">I8*100/F8</f>
        <v>0</v>
      </c>
      <c r="BL8" s="26">
        <f t="shared" ref="BL8:BL42" si="11">J8*100/F8</f>
        <v>0</v>
      </c>
      <c r="BM8" s="26">
        <f t="shared" ref="BM8:BM42" si="12">L8*100/$K8</f>
        <v>100</v>
      </c>
      <c r="BN8" s="26">
        <f t="shared" ref="BN8:BN42" si="13">M8*100/$K8</f>
        <v>100</v>
      </c>
      <c r="BO8" s="26">
        <f t="shared" ref="BO8:BO42" si="14">N8*100/$K8</f>
        <v>100</v>
      </c>
      <c r="BP8" s="26">
        <f t="shared" ref="BP8:BP67" si="15">O8*100/$K8</f>
        <v>97.5</v>
      </c>
      <c r="BQ8" s="26">
        <f t="shared" ref="BQ8:BQ42" si="16">Q8*100/$K8</f>
        <v>0</v>
      </c>
      <c r="BR8" s="26">
        <f t="shared" ref="BR8:BR42" si="17">R8*100/$K8</f>
        <v>100</v>
      </c>
      <c r="BS8" s="26">
        <f t="shared" ref="BS8:BS56" si="18">S8*100/R8</f>
        <v>92.5</v>
      </c>
      <c r="BT8" s="26">
        <f t="shared" ref="BT8:BT42" si="19">T8*100/$K8</f>
        <v>10</v>
      </c>
      <c r="BU8" s="26">
        <f t="shared" ref="BU8:BU42" si="20">U8*100/$K8</f>
        <v>90</v>
      </c>
      <c r="BV8" s="26">
        <f t="shared" ref="BV8:BX42" si="21">V8*100/$K8</f>
        <v>0</v>
      </c>
      <c r="BW8" s="26">
        <f t="shared" si="0"/>
        <v>55</v>
      </c>
      <c r="BX8" s="26">
        <f t="shared" si="0"/>
        <v>55</v>
      </c>
      <c r="BY8" s="26">
        <f t="shared" ref="BY8:BY42" si="22">Y8*100/$K8</f>
        <v>17.5</v>
      </c>
      <c r="BZ8" s="26">
        <f t="shared" ref="BZ8:BZ42" si="23">Z8*100/$K8</f>
        <v>100</v>
      </c>
      <c r="CA8" s="26">
        <f t="shared" ref="CA8:CA42" si="24">AA8*100/$K8</f>
        <v>82.5</v>
      </c>
      <c r="CB8" s="26">
        <f t="shared" ref="CB8:CB42" si="25">AB8*100/$K8</f>
        <v>0</v>
      </c>
      <c r="CC8" s="26">
        <f t="shared" ref="CC8:CC42" si="26">AC8*100/$K8</f>
        <v>92.5</v>
      </c>
      <c r="CD8" s="26">
        <f t="shared" ref="CD8:CD42" si="27">AD8*100/$K8</f>
        <v>7.5</v>
      </c>
      <c r="CE8" s="26">
        <f t="shared" ref="CE8:CE42" si="28">AE8*100/$K8</f>
        <v>100</v>
      </c>
      <c r="CF8" s="26">
        <f t="shared" ref="CF8:CF42" si="29">AF8*100/$K8</f>
        <v>0</v>
      </c>
      <c r="CG8" s="26">
        <f t="shared" ref="CG8:CG67" si="30">AG8*100/$K8</f>
        <v>100</v>
      </c>
      <c r="CH8" s="26">
        <f t="shared" ref="CH8:CH42" si="31">AH8*100/$K8</f>
        <v>100</v>
      </c>
      <c r="CI8" s="26">
        <f t="shared" ref="CI8:CI42" si="32">AI8*100/$K8</f>
        <v>100</v>
      </c>
      <c r="CJ8" s="26">
        <f t="shared" ref="CJ8:CJ42" si="33">AK8*100/AJ8</f>
        <v>81.724969843184553</v>
      </c>
      <c r="CK8" s="26">
        <f t="shared" ref="CK8:CK42" si="34">AL8*100/AJ8</f>
        <v>1.5078407720144753</v>
      </c>
      <c r="CL8" s="26">
        <f t="shared" ref="CL8:CL42" si="35">AM8*100/$K8</f>
        <v>15</v>
      </c>
      <c r="CM8" s="26"/>
      <c r="CN8" s="26">
        <f t="shared" ref="CN8:CN42" si="36">AO8*100/$K8</f>
        <v>100</v>
      </c>
      <c r="CO8" s="26">
        <f t="shared" ref="CO8:CO42" si="37">AP8*100/$K8</f>
        <v>100</v>
      </c>
      <c r="CP8" s="26">
        <f t="shared" ref="CP8:CP42" si="38">AQ8*100/$K8</f>
        <v>100</v>
      </c>
      <c r="CQ8" s="26">
        <f t="shared" ref="CQ8:CQ42" si="39">AR8*100/(AR8+AS8)</f>
        <v>52.5</v>
      </c>
      <c r="CR8" s="26">
        <f t="shared" ref="CR8:CR42" si="40">AT8*100/$K8</f>
        <v>0</v>
      </c>
      <c r="CS8" s="26">
        <f t="shared" ref="CS8:CS42" si="41">BB8*100/$K8</f>
        <v>100</v>
      </c>
    </row>
    <row r="9" spans="1:97">
      <c r="A9" s="8" t="s">
        <v>147</v>
      </c>
      <c r="B9" s="8" t="s">
        <v>148</v>
      </c>
      <c r="C9" s="21" t="s">
        <v>145</v>
      </c>
      <c r="D9" s="9">
        <v>18</v>
      </c>
      <c r="E9" s="9">
        <v>18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15</v>
      </c>
      <c r="L9" s="9">
        <v>15</v>
      </c>
      <c r="M9" s="9">
        <v>15</v>
      </c>
      <c r="N9" s="9">
        <v>15</v>
      </c>
      <c r="O9" s="9">
        <v>15</v>
      </c>
      <c r="P9" s="9">
        <v>0</v>
      </c>
      <c r="Q9" s="9">
        <v>0</v>
      </c>
      <c r="R9" s="9">
        <v>15</v>
      </c>
      <c r="S9" s="9">
        <v>14</v>
      </c>
      <c r="T9" s="9">
        <v>3</v>
      </c>
      <c r="U9" s="9">
        <v>12</v>
      </c>
      <c r="V9" s="9">
        <v>0</v>
      </c>
      <c r="W9" s="9">
        <v>14</v>
      </c>
      <c r="X9" s="9">
        <v>13</v>
      </c>
      <c r="Y9" s="9">
        <v>4</v>
      </c>
      <c r="Z9" s="9">
        <v>15</v>
      </c>
      <c r="AA9" s="9">
        <v>11</v>
      </c>
      <c r="AB9" s="9">
        <v>0</v>
      </c>
      <c r="AC9" s="9">
        <v>4</v>
      </c>
      <c r="AD9" s="9">
        <v>11</v>
      </c>
      <c r="AE9" s="9">
        <v>15</v>
      </c>
      <c r="AF9" s="9">
        <v>0</v>
      </c>
      <c r="AG9" s="9">
        <v>15</v>
      </c>
      <c r="AH9" s="9">
        <v>15</v>
      </c>
      <c r="AI9" s="9">
        <v>15</v>
      </c>
      <c r="AJ9" s="9">
        <v>5259</v>
      </c>
      <c r="AK9" s="9">
        <v>3545</v>
      </c>
      <c r="AL9" s="9">
        <v>21</v>
      </c>
      <c r="AM9" s="9">
        <v>6</v>
      </c>
      <c r="AN9" s="9">
        <v>0</v>
      </c>
      <c r="AO9" s="9">
        <v>10</v>
      </c>
      <c r="AP9" s="9">
        <v>7</v>
      </c>
      <c r="AQ9" s="9">
        <v>10</v>
      </c>
      <c r="AR9" s="9">
        <v>8</v>
      </c>
      <c r="AS9" s="9">
        <v>7</v>
      </c>
      <c r="AT9" s="9">
        <v>0</v>
      </c>
      <c r="AU9" s="9">
        <v>3</v>
      </c>
      <c r="AV9" s="9">
        <v>8</v>
      </c>
      <c r="AW9" s="9">
        <v>3</v>
      </c>
      <c r="AX9" s="9">
        <v>1</v>
      </c>
      <c r="AY9" s="9">
        <v>0</v>
      </c>
      <c r="AZ9" s="9">
        <v>0</v>
      </c>
      <c r="BA9" s="9">
        <v>0</v>
      </c>
      <c r="BB9" s="9">
        <v>15</v>
      </c>
      <c r="BC9" s="18"/>
      <c r="BD9" s="9"/>
      <c r="BE9" s="9"/>
      <c r="BF9" s="9"/>
      <c r="BG9" s="10">
        <f t="shared" si="6"/>
        <v>100</v>
      </c>
      <c r="BH9" s="10">
        <f t="shared" si="7"/>
        <v>0</v>
      </c>
      <c r="BI9" s="10" t="e">
        <f t="shared" si="8"/>
        <v>#DIV/0!</v>
      </c>
      <c r="BJ9" s="10" t="e">
        <f t="shared" si="9"/>
        <v>#DIV/0!</v>
      </c>
      <c r="BK9" s="10" t="e">
        <f t="shared" si="10"/>
        <v>#DIV/0!</v>
      </c>
      <c r="BL9" s="10" t="e">
        <f t="shared" si="11"/>
        <v>#DIV/0!</v>
      </c>
      <c r="BM9" s="10">
        <f t="shared" si="12"/>
        <v>100</v>
      </c>
      <c r="BN9" s="10">
        <f t="shared" si="13"/>
        <v>100</v>
      </c>
      <c r="BO9" s="10">
        <f t="shared" si="14"/>
        <v>100</v>
      </c>
      <c r="BP9" s="10">
        <f t="shared" si="15"/>
        <v>100</v>
      </c>
      <c r="BQ9" s="10">
        <f t="shared" si="16"/>
        <v>0</v>
      </c>
      <c r="BR9" s="10">
        <f t="shared" si="17"/>
        <v>100</v>
      </c>
      <c r="BS9" s="10">
        <f t="shared" si="18"/>
        <v>93.333333333333329</v>
      </c>
      <c r="BT9" s="10">
        <f t="shared" si="19"/>
        <v>20</v>
      </c>
      <c r="BU9" s="10">
        <f t="shared" si="20"/>
        <v>80</v>
      </c>
      <c r="BV9" s="10">
        <f t="shared" si="21"/>
        <v>0</v>
      </c>
      <c r="BW9" s="10">
        <f t="shared" si="0"/>
        <v>93.333333333333329</v>
      </c>
      <c r="BX9" s="10">
        <f t="shared" si="0"/>
        <v>86.666666666666671</v>
      </c>
      <c r="BY9" s="10">
        <f t="shared" si="22"/>
        <v>26.666666666666668</v>
      </c>
      <c r="BZ9" s="10">
        <f t="shared" si="23"/>
        <v>100</v>
      </c>
      <c r="CA9" s="10">
        <f t="shared" si="24"/>
        <v>73.333333333333329</v>
      </c>
      <c r="CB9" s="10">
        <f t="shared" si="25"/>
        <v>0</v>
      </c>
      <c r="CC9" s="10">
        <f t="shared" si="26"/>
        <v>26.666666666666668</v>
      </c>
      <c r="CD9" s="10">
        <f t="shared" si="27"/>
        <v>73.333333333333329</v>
      </c>
      <c r="CE9" s="10">
        <f t="shared" si="28"/>
        <v>100</v>
      </c>
      <c r="CF9" s="10">
        <f t="shared" si="29"/>
        <v>0</v>
      </c>
      <c r="CG9" s="10">
        <f t="shared" si="30"/>
        <v>100</v>
      </c>
      <c r="CH9" s="10">
        <f t="shared" si="31"/>
        <v>100</v>
      </c>
      <c r="CI9" s="10">
        <f t="shared" si="32"/>
        <v>100</v>
      </c>
      <c r="CJ9" s="10">
        <f t="shared" si="33"/>
        <v>67.408252519490404</v>
      </c>
      <c r="CK9" s="10">
        <f t="shared" si="34"/>
        <v>0.39931545921277811</v>
      </c>
      <c r="CL9" s="10">
        <f t="shared" si="35"/>
        <v>40</v>
      </c>
      <c r="CM9" s="10"/>
      <c r="CN9" s="10">
        <f t="shared" si="36"/>
        <v>66.666666666666671</v>
      </c>
      <c r="CO9" s="10">
        <f t="shared" si="37"/>
        <v>46.666666666666664</v>
      </c>
      <c r="CP9" s="10">
        <f t="shared" si="38"/>
        <v>66.666666666666671</v>
      </c>
      <c r="CQ9" s="10">
        <f t="shared" si="39"/>
        <v>53.333333333333336</v>
      </c>
      <c r="CR9" s="10">
        <f t="shared" si="40"/>
        <v>0</v>
      </c>
      <c r="CS9" s="10">
        <f t="shared" si="41"/>
        <v>100</v>
      </c>
    </row>
    <row r="10" spans="1:97">
      <c r="A10" s="22" t="s">
        <v>149</v>
      </c>
      <c r="B10" s="22"/>
      <c r="C10" s="23" t="s">
        <v>145</v>
      </c>
      <c r="D10" s="24">
        <v>18</v>
      </c>
      <c r="E10" s="24">
        <v>18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15</v>
      </c>
      <c r="L10" s="24">
        <v>15</v>
      </c>
      <c r="M10" s="24">
        <v>15</v>
      </c>
      <c r="N10" s="24">
        <v>15</v>
      </c>
      <c r="O10" s="24">
        <v>15</v>
      </c>
      <c r="P10" s="24">
        <v>0</v>
      </c>
      <c r="Q10" s="24">
        <v>0</v>
      </c>
      <c r="R10" s="24">
        <v>15</v>
      </c>
      <c r="S10" s="24">
        <v>14</v>
      </c>
      <c r="T10" s="24">
        <v>3</v>
      </c>
      <c r="U10" s="24">
        <v>12</v>
      </c>
      <c r="V10" s="24">
        <v>0</v>
      </c>
      <c r="W10" s="24">
        <v>14</v>
      </c>
      <c r="X10" s="24">
        <v>13</v>
      </c>
      <c r="Y10" s="24">
        <v>4</v>
      </c>
      <c r="Z10" s="24">
        <v>15</v>
      </c>
      <c r="AA10" s="24">
        <v>11</v>
      </c>
      <c r="AB10" s="24">
        <v>0</v>
      </c>
      <c r="AC10" s="24">
        <v>4</v>
      </c>
      <c r="AD10" s="24">
        <v>11</v>
      </c>
      <c r="AE10" s="24">
        <v>15</v>
      </c>
      <c r="AF10" s="24">
        <v>0</v>
      </c>
      <c r="AG10" s="24">
        <v>15</v>
      </c>
      <c r="AH10" s="24">
        <v>15</v>
      </c>
      <c r="AI10" s="24">
        <v>15</v>
      </c>
      <c r="AJ10" s="24">
        <v>5259</v>
      </c>
      <c r="AK10" s="24">
        <v>3545</v>
      </c>
      <c r="AL10" s="24">
        <v>21</v>
      </c>
      <c r="AM10" s="24">
        <v>6</v>
      </c>
      <c r="AN10" s="24">
        <v>0</v>
      </c>
      <c r="AO10" s="24">
        <v>10</v>
      </c>
      <c r="AP10" s="24">
        <v>7</v>
      </c>
      <c r="AQ10" s="24">
        <v>10</v>
      </c>
      <c r="AR10" s="24">
        <v>8</v>
      </c>
      <c r="AS10" s="24">
        <v>7</v>
      </c>
      <c r="AT10" s="24">
        <v>0</v>
      </c>
      <c r="AU10" s="24">
        <v>3</v>
      </c>
      <c r="AV10" s="24">
        <v>8</v>
      </c>
      <c r="AW10" s="24">
        <v>3</v>
      </c>
      <c r="AX10" s="24">
        <v>1</v>
      </c>
      <c r="AY10" s="24">
        <v>0</v>
      </c>
      <c r="AZ10" s="24">
        <v>0</v>
      </c>
      <c r="BA10" s="24">
        <v>0</v>
      </c>
      <c r="BB10" s="24">
        <v>15</v>
      </c>
      <c r="BC10" s="25"/>
      <c r="BD10" s="24"/>
      <c r="BE10" s="24"/>
      <c r="BF10" s="24"/>
      <c r="BG10" s="26">
        <f t="shared" si="6"/>
        <v>100</v>
      </c>
      <c r="BH10" s="26">
        <f t="shared" si="7"/>
        <v>0</v>
      </c>
      <c r="BI10" s="26" t="e">
        <f t="shared" si="8"/>
        <v>#DIV/0!</v>
      </c>
      <c r="BJ10" s="26" t="e">
        <f t="shared" si="9"/>
        <v>#DIV/0!</v>
      </c>
      <c r="BK10" s="26" t="e">
        <f t="shared" si="10"/>
        <v>#DIV/0!</v>
      </c>
      <c r="BL10" s="26" t="e">
        <f t="shared" si="11"/>
        <v>#DIV/0!</v>
      </c>
      <c r="BM10" s="26">
        <f t="shared" si="12"/>
        <v>100</v>
      </c>
      <c r="BN10" s="26">
        <f t="shared" si="13"/>
        <v>100</v>
      </c>
      <c r="BO10" s="26">
        <f t="shared" si="14"/>
        <v>100</v>
      </c>
      <c r="BP10" s="26">
        <f t="shared" si="15"/>
        <v>100</v>
      </c>
      <c r="BQ10" s="26">
        <f t="shared" si="16"/>
        <v>0</v>
      </c>
      <c r="BR10" s="26">
        <f t="shared" si="17"/>
        <v>100</v>
      </c>
      <c r="BS10" s="26">
        <f t="shared" si="18"/>
        <v>93.333333333333329</v>
      </c>
      <c r="BT10" s="26">
        <f t="shared" si="19"/>
        <v>20</v>
      </c>
      <c r="BU10" s="26">
        <f t="shared" si="20"/>
        <v>80</v>
      </c>
      <c r="BV10" s="26">
        <f t="shared" si="21"/>
        <v>0</v>
      </c>
      <c r="BW10" s="26">
        <f t="shared" si="0"/>
        <v>93.333333333333329</v>
      </c>
      <c r="BX10" s="26">
        <f t="shared" si="0"/>
        <v>86.666666666666671</v>
      </c>
      <c r="BY10" s="26">
        <f t="shared" si="22"/>
        <v>26.666666666666668</v>
      </c>
      <c r="BZ10" s="26">
        <f t="shared" si="23"/>
        <v>100</v>
      </c>
      <c r="CA10" s="26">
        <f t="shared" si="24"/>
        <v>73.333333333333329</v>
      </c>
      <c r="CB10" s="26">
        <f t="shared" si="25"/>
        <v>0</v>
      </c>
      <c r="CC10" s="26">
        <f t="shared" si="26"/>
        <v>26.666666666666668</v>
      </c>
      <c r="CD10" s="26">
        <f t="shared" si="27"/>
        <v>73.333333333333329</v>
      </c>
      <c r="CE10" s="26">
        <f t="shared" si="28"/>
        <v>100</v>
      </c>
      <c r="CF10" s="26">
        <f t="shared" si="29"/>
        <v>0</v>
      </c>
      <c r="CG10" s="26">
        <f t="shared" si="30"/>
        <v>100</v>
      </c>
      <c r="CH10" s="26">
        <f t="shared" si="31"/>
        <v>100</v>
      </c>
      <c r="CI10" s="26">
        <f t="shared" si="32"/>
        <v>100</v>
      </c>
      <c r="CJ10" s="26">
        <f t="shared" si="33"/>
        <v>67.408252519490404</v>
      </c>
      <c r="CK10" s="26">
        <f t="shared" si="34"/>
        <v>0.39931545921277811</v>
      </c>
      <c r="CL10" s="26">
        <f t="shared" si="35"/>
        <v>40</v>
      </c>
      <c r="CM10" s="26"/>
      <c r="CN10" s="26">
        <f t="shared" si="36"/>
        <v>66.666666666666671</v>
      </c>
      <c r="CO10" s="26">
        <f t="shared" si="37"/>
        <v>46.666666666666664</v>
      </c>
      <c r="CP10" s="26">
        <f t="shared" si="38"/>
        <v>66.666666666666671</v>
      </c>
      <c r="CQ10" s="26">
        <f t="shared" si="39"/>
        <v>53.333333333333336</v>
      </c>
      <c r="CR10" s="26">
        <f t="shared" si="40"/>
        <v>0</v>
      </c>
      <c r="CS10" s="26">
        <f t="shared" si="41"/>
        <v>100</v>
      </c>
    </row>
    <row r="11" spans="1:97">
      <c r="A11" s="8" t="s">
        <v>150</v>
      </c>
      <c r="B11" s="8" t="s">
        <v>151</v>
      </c>
      <c r="C11" s="21" t="s">
        <v>145</v>
      </c>
      <c r="D11" s="9">
        <v>40</v>
      </c>
      <c r="E11" s="9">
        <v>38</v>
      </c>
      <c r="F11" s="9">
        <v>2</v>
      </c>
      <c r="G11" s="9">
        <v>1</v>
      </c>
      <c r="H11" s="9">
        <v>1</v>
      </c>
      <c r="I11" s="9">
        <v>0</v>
      </c>
      <c r="J11" s="9">
        <v>0</v>
      </c>
      <c r="K11" s="9">
        <v>38</v>
      </c>
      <c r="L11" s="9">
        <v>38</v>
      </c>
      <c r="M11" s="9">
        <v>38</v>
      </c>
      <c r="N11" s="9">
        <v>38</v>
      </c>
      <c r="O11" s="9">
        <v>38</v>
      </c>
      <c r="P11" s="9">
        <v>0</v>
      </c>
      <c r="Q11" s="9">
        <v>0</v>
      </c>
      <c r="R11" s="9">
        <v>33</v>
      </c>
      <c r="S11" s="9">
        <v>33</v>
      </c>
      <c r="T11" s="9">
        <v>4</v>
      </c>
      <c r="U11" s="9">
        <v>34</v>
      </c>
      <c r="V11" s="9">
        <v>0</v>
      </c>
      <c r="W11" s="9">
        <v>13</v>
      </c>
      <c r="X11" s="9">
        <v>11</v>
      </c>
      <c r="Y11" s="9">
        <v>6</v>
      </c>
      <c r="Z11" s="9">
        <v>38</v>
      </c>
      <c r="AA11" s="9">
        <v>32</v>
      </c>
      <c r="AB11" s="9">
        <v>0</v>
      </c>
      <c r="AC11" s="9">
        <v>4</v>
      </c>
      <c r="AD11" s="9">
        <v>34</v>
      </c>
      <c r="AE11" s="9">
        <v>38</v>
      </c>
      <c r="AF11" s="9">
        <v>0</v>
      </c>
      <c r="AG11" s="9">
        <v>38</v>
      </c>
      <c r="AH11" s="9">
        <v>38</v>
      </c>
      <c r="AI11" s="9">
        <v>38</v>
      </c>
      <c r="AJ11" s="9">
        <v>1856</v>
      </c>
      <c r="AK11" s="9">
        <v>910</v>
      </c>
      <c r="AL11" s="9">
        <v>729</v>
      </c>
      <c r="AM11" s="9">
        <v>38</v>
      </c>
      <c r="AN11" s="9">
        <v>0</v>
      </c>
      <c r="AO11" s="9">
        <v>26</v>
      </c>
      <c r="AP11" s="9">
        <v>36</v>
      </c>
      <c r="AQ11" s="9">
        <v>26</v>
      </c>
      <c r="AR11" s="9">
        <v>31</v>
      </c>
      <c r="AS11" s="9">
        <v>7</v>
      </c>
      <c r="AT11" s="9">
        <v>3</v>
      </c>
      <c r="AU11" s="9">
        <v>6</v>
      </c>
      <c r="AV11" s="9">
        <v>9</v>
      </c>
      <c r="AW11" s="9">
        <v>6</v>
      </c>
      <c r="AX11" s="9">
        <v>8</v>
      </c>
      <c r="AY11" s="9">
        <v>2</v>
      </c>
      <c r="AZ11" s="9">
        <v>2</v>
      </c>
      <c r="BA11" s="9">
        <v>2</v>
      </c>
      <c r="BB11" s="9">
        <v>35</v>
      </c>
      <c r="BC11" s="18"/>
      <c r="BD11" s="9"/>
      <c r="BE11" s="9"/>
      <c r="BF11" s="9"/>
      <c r="BG11" s="10">
        <f t="shared" si="6"/>
        <v>95</v>
      </c>
      <c r="BH11" s="10">
        <f t="shared" si="7"/>
        <v>5</v>
      </c>
      <c r="BI11" s="10">
        <f t="shared" si="8"/>
        <v>50</v>
      </c>
      <c r="BJ11" s="10">
        <f t="shared" si="9"/>
        <v>50</v>
      </c>
      <c r="BK11" s="10">
        <f t="shared" si="10"/>
        <v>0</v>
      </c>
      <c r="BL11" s="10">
        <f t="shared" si="11"/>
        <v>0</v>
      </c>
      <c r="BM11" s="10">
        <f t="shared" si="12"/>
        <v>100</v>
      </c>
      <c r="BN11" s="10">
        <f t="shared" si="13"/>
        <v>100</v>
      </c>
      <c r="BO11" s="10">
        <f t="shared" si="14"/>
        <v>100</v>
      </c>
      <c r="BP11" s="10">
        <f t="shared" si="15"/>
        <v>100</v>
      </c>
      <c r="BQ11" s="10">
        <f t="shared" si="16"/>
        <v>0</v>
      </c>
      <c r="BR11" s="10">
        <f t="shared" si="17"/>
        <v>86.84210526315789</v>
      </c>
      <c r="BS11" s="10">
        <f t="shared" si="18"/>
        <v>100</v>
      </c>
      <c r="BT11" s="10">
        <f t="shared" si="19"/>
        <v>10.526315789473685</v>
      </c>
      <c r="BU11" s="10">
        <f t="shared" si="20"/>
        <v>89.473684210526315</v>
      </c>
      <c r="BV11" s="10">
        <f t="shared" si="21"/>
        <v>0</v>
      </c>
      <c r="BW11" s="10">
        <f t="shared" si="0"/>
        <v>34.210526315789473</v>
      </c>
      <c r="BX11" s="10">
        <f t="shared" si="0"/>
        <v>28.94736842105263</v>
      </c>
      <c r="BY11" s="10">
        <f t="shared" si="22"/>
        <v>15.789473684210526</v>
      </c>
      <c r="BZ11" s="10">
        <f t="shared" si="23"/>
        <v>100</v>
      </c>
      <c r="CA11" s="10">
        <f t="shared" si="24"/>
        <v>84.21052631578948</v>
      </c>
      <c r="CB11" s="10">
        <f t="shared" si="25"/>
        <v>0</v>
      </c>
      <c r="CC11" s="10">
        <f t="shared" si="26"/>
        <v>10.526315789473685</v>
      </c>
      <c r="CD11" s="10">
        <f t="shared" si="27"/>
        <v>89.473684210526315</v>
      </c>
      <c r="CE11" s="10">
        <f t="shared" si="28"/>
        <v>100</v>
      </c>
      <c r="CF11" s="10">
        <f t="shared" si="29"/>
        <v>0</v>
      </c>
      <c r="CG11" s="10">
        <f t="shared" si="30"/>
        <v>100</v>
      </c>
      <c r="CH11" s="10">
        <f t="shared" si="31"/>
        <v>100</v>
      </c>
      <c r="CI11" s="10">
        <f t="shared" si="32"/>
        <v>100</v>
      </c>
      <c r="CJ11" s="10">
        <f t="shared" si="33"/>
        <v>49.030172413793103</v>
      </c>
      <c r="CK11" s="10">
        <f t="shared" si="34"/>
        <v>39.27801724137931</v>
      </c>
      <c r="CL11" s="10">
        <f t="shared" si="35"/>
        <v>100</v>
      </c>
      <c r="CM11" s="10"/>
      <c r="CN11" s="10">
        <f t="shared" si="36"/>
        <v>68.421052631578945</v>
      </c>
      <c r="CO11" s="10">
        <f t="shared" si="37"/>
        <v>94.736842105263165</v>
      </c>
      <c r="CP11" s="10">
        <f t="shared" si="38"/>
        <v>68.421052631578945</v>
      </c>
      <c r="CQ11" s="10">
        <f t="shared" si="39"/>
        <v>81.578947368421055</v>
      </c>
      <c r="CR11" s="10">
        <f t="shared" si="40"/>
        <v>7.8947368421052628</v>
      </c>
      <c r="CS11" s="10">
        <f t="shared" si="41"/>
        <v>92.10526315789474</v>
      </c>
    </row>
    <row r="12" spans="1:97">
      <c r="A12" s="22" t="s">
        <v>152</v>
      </c>
      <c r="B12" s="22"/>
      <c r="C12" s="23" t="s">
        <v>145</v>
      </c>
      <c r="D12" s="24">
        <v>40</v>
      </c>
      <c r="E12" s="24">
        <v>38</v>
      </c>
      <c r="F12" s="24">
        <v>2</v>
      </c>
      <c r="G12" s="24">
        <v>1</v>
      </c>
      <c r="H12" s="24">
        <v>1</v>
      </c>
      <c r="I12" s="24">
        <v>0</v>
      </c>
      <c r="J12" s="24">
        <v>0</v>
      </c>
      <c r="K12" s="24">
        <v>38</v>
      </c>
      <c r="L12" s="24">
        <v>38</v>
      </c>
      <c r="M12" s="24">
        <v>38</v>
      </c>
      <c r="N12" s="24">
        <v>38</v>
      </c>
      <c r="O12" s="24">
        <v>38</v>
      </c>
      <c r="P12" s="24">
        <v>0</v>
      </c>
      <c r="Q12" s="24">
        <v>0</v>
      </c>
      <c r="R12" s="24">
        <v>33</v>
      </c>
      <c r="S12" s="24">
        <v>33</v>
      </c>
      <c r="T12" s="24">
        <v>4</v>
      </c>
      <c r="U12" s="24">
        <v>34</v>
      </c>
      <c r="V12" s="24">
        <v>0</v>
      </c>
      <c r="W12" s="24">
        <v>13</v>
      </c>
      <c r="X12" s="24">
        <v>11</v>
      </c>
      <c r="Y12" s="24">
        <v>6</v>
      </c>
      <c r="Z12" s="24">
        <v>38</v>
      </c>
      <c r="AA12" s="24">
        <v>32</v>
      </c>
      <c r="AB12" s="24">
        <v>0</v>
      </c>
      <c r="AC12" s="24">
        <v>4</v>
      </c>
      <c r="AD12" s="24">
        <v>34</v>
      </c>
      <c r="AE12" s="24">
        <v>38</v>
      </c>
      <c r="AF12" s="24">
        <v>0</v>
      </c>
      <c r="AG12" s="24">
        <v>38</v>
      </c>
      <c r="AH12" s="24">
        <v>38</v>
      </c>
      <c r="AI12" s="24">
        <v>38</v>
      </c>
      <c r="AJ12" s="24">
        <v>1856</v>
      </c>
      <c r="AK12" s="24">
        <v>910</v>
      </c>
      <c r="AL12" s="24">
        <v>729</v>
      </c>
      <c r="AM12" s="24">
        <v>38</v>
      </c>
      <c r="AN12" s="24">
        <v>0</v>
      </c>
      <c r="AO12" s="24">
        <v>26</v>
      </c>
      <c r="AP12" s="24">
        <v>36</v>
      </c>
      <c r="AQ12" s="24">
        <v>26</v>
      </c>
      <c r="AR12" s="24">
        <v>31</v>
      </c>
      <c r="AS12" s="24">
        <v>7</v>
      </c>
      <c r="AT12" s="24">
        <v>3</v>
      </c>
      <c r="AU12" s="24">
        <v>6</v>
      </c>
      <c r="AV12" s="24">
        <v>9</v>
      </c>
      <c r="AW12" s="24">
        <v>6</v>
      </c>
      <c r="AX12" s="24">
        <v>8</v>
      </c>
      <c r="AY12" s="24">
        <v>2</v>
      </c>
      <c r="AZ12" s="24">
        <v>2</v>
      </c>
      <c r="BA12" s="24">
        <v>2</v>
      </c>
      <c r="BB12" s="24">
        <v>35</v>
      </c>
      <c r="BC12" s="25"/>
      <c r="BD12" s="24"/>
      <c r="BE12" s="24"/>
      <c r="BF12" s="24"/>
      <c r="BG12" s="26">
        <f t="shared" si="6"/>
        <v>95</v>
      </c>
      <c r="BH12" s="26">
        <f t="shared" si="7"/>
        <v>5</v>
      </c>
      <c r="BI12" s="26">
        <f t="shared" si="8"/>
        <v>50</v>
      </c>
      <c r="BJ12" s="26">
        <f t="shared" si="9"/>
        <v>50</v>
      </c>
      <c r="BK12" s="26">
        <f t="shared" si="10"/>
        <v>0</v>
      </c>
      <c r="BL12" s="26">
        <f t="shared" si="11"/>
        <v>0</v>
      </c>
      <c r="BM12" s="26">
        <f t="shared" si="12"/>
        <v>100</v>
      </c>
      <c r="BN12" s="26">
        <f t="shared" si="13"/>
        <v>100</v>
      </c>
      <c r="BO12" s="26">
        <f t="shared" si="14"/>
        <v>100</v>
      </c>
      <c r="BP12" s="26">
        <f t="shared" si="15"/>
        <v>100</v>
      </c>
      <c r="BQ12" s="26">
        <f t="shared" si="16"/>
        <v>0</v>
      </c>
      <c r="BR12" s="26">
        <f t="shared" si="17"/>
        <v>86.84210526315789</v>
      </c>
      <c r="BS12" s="26">
        <f t="shared" si="18"/>
        <v>100</v>
      </c>
      <c r="BT12" s="26">
        <f t="shared" si="19"/>
        <v>10.526315789473685</v>
      </c>
      <c r="BU12" s="26">
        <f t="shared" si="20"/>
        <v>89.473684210526315</v>
      </c>
      <c r="BV12" s="26">
        <f t="shared" si="21"/>
        <v>0</v>
      </c>
      <c r="BW12" s="26">
        <f t="shared" si="0"/>
        <v>34.210526315789473</v>
      </c>
      <c r="BX12" s="26">
        <f t="shared" si="0"/>
        <v>28.94736842105263</v>
      </c>
      <c r="BY12" s="26">
        <f t="shared" si="22"/>
        <v>15.789473684210526</v>
      </c>
      <c r="BZ12" s="26">
        <f t="shared" si="23"/>
        <v>100</v>
      </c>
      <c r="CA12" s="26">
        <f t="shared" si="24"/>
        <v>84.21052631578948</v>
      </c>
      <c r="CB12" s="26">
        <f t="shared" si="25"/>
        <v>0</v>
      </c>
      <c r="CC12" s="26">
        <f t="shared" si="26"/>
        <v>10.526315789473685</v>
      </c>
      <c r="CD12" s="26">
        <f t="shared" si="27"/>
        <v>89.473684210526315</v>
      </c>
      <c r="CE12" s="26">
        <f t="shared" si="28"/>
        <v>100</v>
      </c>
      <c r="CF12" s="26">
        <f t="shared" si="29"/>
        <v>0</v>
      </c>
      <c r="CG12" s="26">
        <f t="shared" si="30"/>
        <v>100</v>
      </c>
      <c r="CH12" s="26">
        <f t="shared" si="31"/>
        <v>100</v>
      </c>
      <c r="CI12" s="26">
        <f t="shared" si="32"/>
        <v>100</v>
      </c>
      <c r="CJ12" s="26">
        <f t="shared" si="33"/>
        <v>49.030172413793103</v>
      </c>
      <c r="CK12" s="26">
        <f t="shared" si="34"/>
        <v>39.27801724137931</v>
      </c>
      <c r="CL12" s="26">
        <f t="shared" si="35"/>
        <v>100</v>
      </c>
      <c r="CM12" s="26"/>
      <c r="CN12" s="26">
        <f t="shared" si="36"/>
        <v>68.421052631578945</v>
      </c>
      <c r="CO12" s="26">
        <f t="shared" si="37"/>
        <v>94.736842105263165</v>
      </c>
      <c r="CP12" s="26">
        <f t="shared" si="38"/>
        <v>68.421052631578945</v>
      </c>
      <c r="CQ12" s="26">
        <f t="shared" si="39"/>
        <v>81.578947368421055</v>
      </c>
      <c r="CR12" s="26">
        <f t="shared" si="40"/>
        <v>7.8947368421052628</v>
      </c>
      <c r="CS12" s="26">
        <f t="shared" si="41"/>
        <v>92.10526315789474</v>
      </c>
    </row>
    <row r="13" spans="1:97">
      <c r="A13" s="8" t="s">
        <v>153</v>
      </c>
      <c r="B13" s="8" t="s">
        <v>154</v>
      </c>
      <c r="C13" s="21" t="s">
        <v>145</v>
      </c>
      <c r="D13" s="9">
        <v>40</v>
      </c>
      <c r="E13" s="9">
        <v>40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36</v>
      </c>
      <c r="L13" s="9">
        <v>35</v>
      </c>
      <c r="M13" s="9">
        <v>34</v>
      </c>
      <c r="N13" s="9">
        <v>36</v>
      </c>
      <c r="O13" s="9">
        <v>36</v>
      </c>
      <c r="P13" s="9">
        <v>0</v>
      </c>
      <c r="Q13" s="9">
        <v>0</v>
      </c>
      <c r="R13" s="9">
        <v>35</v>
      </c>
      <c r="S13" s="9">
        <v>34</v>
      </c>
      <c r="T13" s="9">
        <v>2</v>
      </c>
      <c r="U13" s="9">
        <v>34</v>
      </c>
      <c r="V13" s="9">
        <v>0</v>
      </c>
      <c r="W13" s="9">
        <v>5</v>
      </c>
      <c r="X13" s="9">
        <v>5</v>
      </c>
      <c r="Y13" s="9">
        <v>0</v>
      </c>
      <c r="Z13" s="9">
        <v>36</v>
      </c>
      <c r="AA13" s="9">
        <v>36</v>
      </c>
      <c r="AB13" s="9">
        <v>0</v>
      </c>
      <c r="AC13" s="9">
        <v>1</v>
      </c>
      <c r="AD13" s="9">
        <v>35</v>
      </c>
      <c r="AE13" s="9">
        <v>36</v>
      </c>
      <c r="AF13" s="9">
        <v>0</v>
      </c>
      <c r="AG13" s="9">
        <v>36</v>
      </c>
      <c r="AH13" s="9">
        <v>36</v>
      </c>
      <c r="AI13" s="9">
        <v>36</v>
      </c>
      <c r="AJ13" s="9">
        <v>1832</v>
      </c>
      <c r="AK13" s="9">
        <v>1054</v>
      </c>
      <c r="AL13" s="9">
        <v>40</v>
      </c>
      <c r="AM13" s="9">
        <v>7</v>
      </c>
      <c r="AN13" s="9">
        <v>0</v>
      </c>
      <c r="AO13" s="9">
        <v>36</v>
      </c>
      <c r="AP13" s="9">
        <v>36</v>
      </c>
      <c r="AQ13" s="9">
        <v>36</v>
      </c>
      <c r="AR13" s="9">
        <v>32</v>
      </c>
      <c r="AS13" s="9">
        <v>0</v>
      </c>
      <c r="AT13" s="9">
        <v>9</v>
      </c>
      <c r="AU13" s="9">
        <v>27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27</v>
      </c>
      <c r="BC13" s="18"/>
      <c r="BD13" s="9"/>
      <c r="BE13" s="9"/>
      <c r="BF13" s="9"/>
      <c r="BG13" s="10">
        <f t="shared" si="6"/>
        <v>100</v>
      </c>
      <c r="BH13" s="10">
        <f t="shared" si="7"/>
        <v>0</v>
      </c>
      <c r="BI13" s="10" t="e">
        <f t="shared" si="8"/>
        <v>#DIV/0!</v>
      </c>
      <c r="BJ13" s="10" t="e">
        <f t="shared" si="9"/>
        <v>#DIV/0!</v>
      </c>
      <c r="BK13" s="10" t="e">
        <f t="shared" si="10"/>
        <v>#DIV/0!</v>
      </c>
      <c r="BL13" s="10" t="e">
        <f t="shared" si="11"/>
        <v>#DIV/0!</v>
      </c>
      <c r="BM13" s="10">
        <f t="shared" si="12"/>
        <v>97.222222222222229</v>
      </c>
      <c r="BN13" s="10">
        <f t="shared" si="13"/>
        <v>94.444444444444443</v>
      </c>
      <c r="BO13" s="10">
        <f t="shared" si="14"/>
        <v>100</v>
      </c>
      <c r="BP13" s="10">
        <f t="shared" si="15"/>
        <v>100</v>
      </c>
      <c r="BQ13" s="10">
        <f t="shared" si="16"/>
        <v>0</v>
      </c>
      <c r="BR13" s="10">
        <f t="shared" si="17"/>
        <v>97.222222222222229</v>
      </c>
      <c r="BS13" s="10">
        <f t="shared" si="18"/>
        <v>97.142857142857139</v>
      </c>
      <c r="BT13" s="10">
        <f t="shared" si="19"/>
        <v>5.5555555555555554</v>
      </c>
      <c r="BU13" s="10">
        <f t="shared" si="20"/>
        <v>94.444444444444443</v>
      </c>
      <c r="BV13" s="10">
        <f t="shared" si="21"/>
        <v>0</v>
      </c>
      <c r="BW13" s="10">
        <f t="shared" si="0"/>
        <v>13.888888888888889</v>
      </c>
      <c r="BX13" s="10">
        <f t="shared" si="0"/>
        <v>13.888888888888889</v>
      </c>
      <c r="BY13" s="10">
        <f t="shared" si="22"/>
        <v>0</v>
      </c>
      <c r="BZ13" s="10">
        <f t="shared" si="23"/>
        <v>100</v>
      </c>
      <c r="CA13" s="10">
        <f t="shared" si="24"/>
        <v>100</v>
      </c>
      <c r="CB13" s="10">
        <f t="shared" si="25"/>
        <v>0</v>
      </c>
      <c r="CC13" s="10">
        <f t="shared" si="26"/>
        <v>2.7777777777777777</v>
      </c>
      <c r="CD13" s="10">
        <f t="shared" si="27"/>
        <v>97.222222222222229</v>
      </c>
      <c r="CE13" s="10">
        <f t="shared" si="28"/>
        <v>100</v>
      </c>
      <c r="CF13" s="10">
        <f t="shared" si="29"/>
        <v>0</v>
      </c>
      <c r="CG13" s="10">
        <f t="shared" si="30"/>
        <v>100</v>
      </c>
      <c r="CH13" s="10">
        <f t="shared" si="31"/>
        <v>100</v>
      </c>
      <c r="CI13" s="10">
        <f t="shared" si="32"/>
        <v>100</v>
      </c>
      <c r="CJ13" s="10">
        <f t="shared" si="33"/>
        <v>57.532751091703055</v>
      </c>
      <c r="CK13" s="10">
        <f t="shared" si="34"/>
        <v>2.1834061135371181</v>
      </c>
      <c r="CL13" s="10">
        <f t="shared" si="35"/>
        <v>19.444444444444443</v>
      </c>
      <c r="CM13" s="10"/>
      <c r="CN13" s="10">
        <f t="shared" si="36"/>
        <v>100</v>
      </c>
      <c r="CO13" s="10">
        <f t="shared" si="37"/>
        <v>100</v>
      </c>
      <c r="CP13" s="10">
        <f t="shared" si="38"/>
        <v>100</v>
      </c>
      <c r="CQ13" s="10">
        <f t="shared" si="39"/>
        <v>100</v>
      </c>
      <c r="CR13" s="10">
        <f t="shared" si="40"/>
        <v>25</v>
      </c>
      <c r="CS13" s="10">
        <f t="shared" si="41"/>
        <v>75</v>
      </c>
    </row>
    <row r="14" spans="1:97">
      <c r="A14" s="8" t="s">
        <v>153</v>
      </c>
      <c r="B14" s="8" t="s">
        <v>155</v>
      </c>
      <c r="C14" s="21" t="s">
        <v>145</v>
      </c>
      <c r="D14" s="9">
        <v>30</v>
      </c>
      <c r="E14" s="9">
        <v>28</v>
      </c>
      <c r="F14" s="9">
        <v>2</v>
      </c>
      <c r="G14" s="9">
        <v>0</v>
      </c>
      <c r="H14" s="9">
        <v>1</v>
      </c>
      <c r="I14" s="9">
        <v>0</v>
      </c>
      <c r="J14" s="9">
        <v>1</v>
      </c>
      <c r="K14" s="9">
        <v>22</v>
      </c>
      <c r="L14" s="9">
        <v>1</v>
      </c>
      <c r="M14" s="9">
        <v>17</v>
      </c>
      <c r="N14" s="9">
        <v>22</v>
      </c>
      <c r="O14" s="9">
        <v>19</v>
      </c>
      <c r="P14" s="9">
        <v>0</v>
      </c>
      <c r="Q14" s="9">
        <v>0</v>
      </c>
      <c r="R14" s="9">
        <v>16</v>
      </c>
      <c r="S14" s="9">
        <v>12</v>
      </c>
      <c r="T14" s="9">
        <v>1</v>
      </c>
      <c r="U14" s="9">
        <v>21</v>
      </c>
      <c r="V14" s="9">
        <v>0</v>
      </c>
      <c r="W14" s="9">
        <v>9</v>
      </c>
      <c r="X14" s="9">
        <v>9</v>
      </c>
      <c r="Y14" s="9">
        <v>1</v>
      </c>
      <c r="Z14" s="9">
        <v>22</v>
      </c>
      <c r="AA14" s="9">
        <v>21</v>
      </c>
      <c r="AB14" s="9">
        <v>0</v>
      </c>
      <c r="AC14" s="9">
        <v>1</v>
      </c>
      <c r="AD14" s="9">
        <v>21</v>
      </c>
      <c r="AE14" s="9">
        <v>22</v>
      </c>
      <c r="AF14" s="9">
        <v>0</v>
      </c>
      <c r="AG14" s="9">
        <v>22</v>
      </c>
      <c r="AH14" s="9">
        <v>22</v>
      </c>
      <c r="AI14" s="9">
        <v>22</v>
      </c>
      <c r="AJ14" s="9">
        <v>430</v>
      </c>
      <c r="AK14" s="9">
        <v>271</v>
      </c>
      <c r="AL14" s="9">
        <v>0</v>
      </c>
      <c r="AM14" s="9">
        <v>0</v>
      </c>
      <c r="AN14" s="9">
        <v>0</v>
      </c>
      <c r="AO14" s="9">
        <v>18</v>
      </c>
      <c r="AP14" s="9">
        <v>16</v>
      </c>
      <c r="AQ14" s="9">
        <v>18</v>
      </c>
      <c r="AR14" s="9">
        <v>11</v>
      </c>
      <c r="AS14" s="9">
        <v>9</v>
      </c>
      <c r="AT14" s="9">
        <v>11</v>
      </c>
      <c r="AU14" s="9">
        <v>11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11</v>
      </c>
      <c r="BC14" s="18"/>
      <c r="BD14" s="9"/>
      <c r="BE14" s="9"/>
      <c r="BF14" s="9"/>
      <c r="BG14" s="10">
        <f t="shared" si="6"/>
        <v>93.333333333333329</v>
      </c>
      <c r="BH14" s="10">
        <f t="shared" si="7"/>
        <v>6.666666666666667</v>
      </c>
      <c r="BI14" s="10">
        <f t="shared" si="8"/>
        <v>0</v>
      </c>
      <c r="BJ14" s="10">
        <f t="shared" si="9"/>
        <v>50</v>
      </c>
      <c r="BK14" s="10">
        <f t="shared" si="10"/>
        <v>0</v>
      </c>
      <c r="BL14" s="10">
        <f t="shared" si="11"/>
        <v>50</v>
      </c>
      <c r="BM14" s="10">
        <f t="shared" si="12"/>
        <v>4.5454545454545459</v>
      </c>
      <c r="BN14" s="10">
        <f t="shared" si="13"/>
        <v>77.272727272727266</v>
      </c>
      <c r="BO14" s="10">
        <f t="shared" si="14"/>
        <v>100</v>
      </c>
      <c r="BP14" s="10">
        <f t="shared" si="15"/>
        <v>86.36363636363636</v>
      </c>
      <c r="BQ14" s="10">
        <f t="shared" si="16"/>
        <v>0</v>
      </c>
      <c r="BR14" s="10">
        <f t="shared" si="17"/>
        <v>72.727272727272734</v>
      </c>
      <c r="BS14" s="10">
        <f t="shared" si="18"/>
        <v>75</v>
      </c>
      <c r="BT14" s="10">
        <f t="shared" si="19"/>
        <v>4.5454545454545459</v>
      </c>
      <c r="BU14" s="10">
        <f t="shared" si="20"/>
        <v>95.454545454545453</v>
      </c>
      <c r="BV14" s="10">
        <f t="shared" si="21"/>
        <v>0</v>
      </c>
      <c r="BW14" s="10">
        <f t="shared" si="0"/>
        <v>40.909090909090907</v>
      </c>
      <c r="BX14" s="10">
        <f t="shared" si="0"/>
        <v>40.909090909090907</v>
      </c>
      <c r="BY14" s="10">
        <f t="shared" si="22"/>
        <v>4.5454545454545459</v>
      </c>
      <c r="BZ14" s="10">
        <f t="shared" si="23"/>
        <v>100</v>
      </c>
      <c r="CA14" s="10">
        <f t="shared" si="24"/>
        <v>95.454545454545453</v>
      </c>
      <c r="CB14" s="10">
        <f t="shared" si="25"/>
        <v>0</v>
      </c>
      <c r="CC14" s="10">
        <f t="shared" si="26"/>
        <v>4.5454545454545459</v>
      </c>
      <c r="CD14" s="10">
        <f t="shared" si="27"/>
        <v>95.454545454545453</v>
      </c>
      <c r="CE14" s="10">
        <f t="shared" si="28"/>
        <v>100</v>
      </c>
      <c r="CF14" s="10">
        <f t="shared" si="29"/>
        <v>0</v>
      </c>
      <c r="CG14" s="10">
        <f t="shared" si="30"/>
        <v>100</v>
      </c>
      <c r="CH14" s="10">
        <f t="shared" si="31"/>
        <v>100</v>
      </c>
      <c r="CI14" s="10">
        <f t="shared" si="32"/>
        <v>100</v>
      </c>
      <c r="CJ14" s="10">
        <f t="shared" si="33"/>
        <v>63.02325581395349</v>
      </c>
      <c r="CK14" s="10">
        <f t="shared" si="34"/>
        <v>0</v>
      </c>
      <c r="CL14" s="10">
        <f t="shared" si="35"/>
        <v>0</v>
      </c>
      <c r="CM14" s="10"/>
      <c r="CN14" s="10">
        <f t="shared" si="36"/>
        <v>81.818181818181813</v>
      </c>
      <c r="CO14" s="10">
        <f t="shared" si="37"/>
        <v>72.727272727272734</v>
      </c>
      <c r="CP14" s="10">
        <f t="shared" si="38"/>
        <v>81.818181818181813</v>
      </c>
      <c r="CQ14" s="10">
        <f t="shared" si="39"/>
        <v>55</v>
      </c>
      <c r="CR14" s="10">
        <f t="shared" si="40"/>
        <v>50</v>
      </c>
      <c r="CS14" s="10">
        <f t="shared" si="41"/>
        <v>50</v>
      </c>
    </row>
    <row r="15" spans="1:97">
      <c r="A15" s="8" t="s">
        <v>153</v>
      </c>
      <c r="B15" s="8" t="s">
        <v>156</v>
      </c>
      <c r="C15" s="21" t="s">
        <v>145</v>
      </c>
      <c r="D15" s="9">
        <v>35</v>
      </c>
      <c r="E15" s="9">
        <v>31</v>
      </c>
      <c r="F15" s="9">
        <v>4</v>
      </c>
      <c r="G15" s="9">
        <v>4</v>
      </c>
      <c r="H15" s="9">
        <v>0</v>
      </c>
      <c r="I15" s="9">
        <v>0</v>
      </c>
      <c r="J15" s="9">
        <v>0</v>
      </c>
      <c r="K15" s="9">
        <v>25</v>
      </c>
      <c r="L15" s="9">
        <v>0</v>
      </c>
      <c r="M15" s="9">
        <v>25</v>
      </c>
      <c r="N15" s="9">
        <v>25</v>
      </c>
      <c r="O15" s="9">
        <v>25</v>
      </c>
      <c r="P15" s="9">
        <v>0</v>
      </c>
      <c r="Q15" s="9">
        <v>0</v>
      </c>
      <c r="R15" s="9">
        <v>22</v>
      </c>
      <c r="S15" s="9">
        <v>21</v>
      </c>
      <c r="T15" s="9">
        <v>2</v>
      </c>
      <c r="U15" s="9">
        <v>22</v>
      </c>
      <c r="V15" s="9">
        <v>1</v>
      </c>
      <c r="W15" s="9">
        <v>5</v>
      </c>
      <c r="X15" s="9">
        <v>3</v>
      </c>
      <c r="Y15" s="9">
        <v>7</v>
      </c>
      <c r="Z15" s="9">
        <v>25</v>
      </c>
      <c r="AA15" s="9">
        <v>18</v>
      </c>
      <c r="AB15" s="9">
        <v>0</v>
      </c>
      <c r="AC15" s="9">
        <v>6</v>
      </c>
      <c r="AD15" s="9">
        <v>19</v>
      </c>
      <c r="AE15" s="9">
        <v>25</v>
      </c>
      <c r="AF15" s="9">
        <v>0</v>
      </c>
      <c r="AG15" s="9">
        <v>25</v>
      </c>
      <c r="AH15" s="9">
        <v>25</v>
      </c>
      <c r="AI15" s="9">
        <v>25</v>
      </c>
      <c r="AJ15" s="9">
        <v>379</v>
      </c>
      <c r="AK15" s="9">
        <v>294</v>
      </c>
      <c r="AL15" s="9">
        <v>0</v>
      </c>
      <c r="AM15" s="9">
        <v>0</v>
      </c>
      <c r="AN15" s="9">
        <v>0</v>
      </c>
      <c r="AO15" s="9">
        <v>24</v>
      </c>
      <c r="AP15" s="9">
        <v>22</v>
      </c>
      <c r="AQ15" s="9">
        <v>24</v>
      </c>
      <c r="AR15" s="9">
        <v>22</v>
      </c>
      <c r="AS15" s="9">
        <v>3</v>
      </c>
      <c r="AT15" s="9">
        <v>16</v>
      </c>
      <c r="AU15" s="9">
        <v>9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9</v>
      </c>
      <c r="BC15" s="18"/>
      <c r="BD15" s="9"/>
      <c r="BE15" s="9"/>
      <c r="BF15" s="9"/>
      <c r="BG15" s="10">
        <f t="shared" si="6"/>
        <v>88.571428571428569</v>
      </c>
      <c r="BH15" s="10">
        <f t="shared" si="7"/>
        <v>11.428571428571429</v>
      </c>
      <c r="BI15" s="10">
        <f t="shared" si="8"/>
        <v>100</v>
      </c>
      <c r="BJ15" s="10">
        <f t="shared" si="9"/>
        <v>0</v>
      </c>
      <c r="BK15" s="10">
        <f t="shared" si="10"/>
        <v>0</v>
      </c>
      <c r="BL15" s="10">
        <f t="shared" si="11"/>
        <v>0</v>
      </c>
      <c r="BM15" s="10">
        <f t="shared" si="12"/>
        <v>0</v>
      </c>
      <c r="BN15" s="10">
        <f t="shared" si="13"/>
        <v>100</v>
      </c>
      <c r="BO15" s="10">
        <f t="shared" si="14"/>
        <v>100</v>
      </c>
      <c r="BP15" s="10">
        <f t="shared" si="15"/>
        <v>100</v>
      </c>
      <c r="BQ15" s="10">
        <f t="shared" si="16"/>
        <v>0</v>
      </c>
      <c r="BR15" s="10">
        <f t="shared" si="17"/>
        <v>88</v>
      </c>
      <c r="BS15" s="10">
        <f t="shared" si="18"/>
        <v>95.454545454545453</v>
      </c>
      <c r="BT15" s="10">
        <f t="shared" si="19"/>
        <v>8</v>
      </c>
      <c r="BU15" s="10">
        <f t="shared" si="20"/>
        <v>88</v>
      </c>
      <c r="BV15" s="10">
        <f t="shared" si="21"/>
        <v>4</v>
      </c>
      <c r="BW15" s="10">
        <f t="shared" si="0"/>
        <v>20</v>
      </c>
      <c r="BX15" s="10">
        <f t="shared" si="0"/>
        <v>12</v>
      </c>
      <c r="BY15" s="10">
        <f t="shared" si="22"/>
        <v>28</v>
      </c>
      <c r="BZ15" s="10">
        <f t="shared" si="23"/>
        <v>100</v>
      </c>
      <c r="CA15" s="10">
        <f t="shared" si="24"/>
        <v>72</v>
      </c>
      <c r="CB15" s="10">
        <f t="shared" si="25"/>
        <v>0</v>
      </c>
      <c r="CC15" s="10">
        <f t="shared" si="26"/>
        <v>24</v>
      </c>
      <c r="CD15" s="10">
        <f t="shared" si="27"/>
        <v>76</v>
      </c>
      <c r="CE15" s="10">
        <f t="shared" si="28"/>
        <v>100</v>
      </c>
      <c r="CF15" s="10">
        <f t="shared" si="29"/>
        <v>0</v>
      </c>
      <c r="CG15" s="10">
        <f t="shared" si="30"/>
        <v>100</v>
      </c>
      <c r="CH15" s="10">
        <f t="shared" si="31"/>
        <v>100</v>
      </c>
      <c r="CI15" s="10">
        <f t="shared" si="32"/>
        <v>100</v>
      </c>
      <c r="CJ15" s="10">
        <f t="shared" si="33"/>
        <v>77.572559366754618</v>
      </c>
      <c r="CK15" s="10">
        <f t="shared" si="34"/>
        <v>0</v>
      </c>
      <c r="CL15" s="10">
        <f t="shared" si="35"/>
        <v>0</v>
      </c>
      <c r="CM15" s="10"/>
      <c r="CN15" s="10">
        <f t="shared" si="36"/>
        <v>96</v>
      </c>
      <c r="CO15" s="10">
        <f t="shared" si="37"/>
        <v>88</v>
      </c>
      <c r="CP15" s="10">
        <f t="shared" si="38"/>
        <v>96</v>
      </c>
      <c r="CQ15" s="10">
        <f t="shared" si="39"/>
        <v>88</v>
      </c>
      <c r="CR15" s="10">
        <f t="shared" si="40"/>
        <v>64</v>
      </c>
      <c r="CS15" s="10">
        <f t="shared" si="41"/>
        <v>36</v>
      </c>
    </row>
    <row r="16" spans="1:97">
      <c r="A16" s="8" t="s">
        <v>153</v>
      </c>
      <c r="B16" s="8" t="s">
        <v>157</v>
      </c>
      <c r="C16" s="21" t="s">
        <v>145</v>
      </c>
      <c r="D16" s="9">
        <v>40</v>
      </c>
      <c r="E16" s="9">
        <v>30</v>
      </c>
      <c r="F16" s="9">
        <v>10</v>
      </c>
      <c r="G16" s="9">
        <v>4</v>
      </c>
      <c r="H16" s="9">
        <v>0</v>
      </c>
      <c r="I16" s="9">
        <v>0</v>
      </c>
      <c r="J16" s="9">
        <v>6</v>
      </c>
      <c r="K16" s="9">
        <v>28</v>
      </c>
      <c r="L16" s="9">
        <v>11</v>
      </c>
      <c r="M16" s="9">
        <v>28</v>
      </c>
      <c r="N16" s="9">
        <v>28</v>
      </c>
      <c r="O16" s="9">
        <v>26</v>
      </c>
      <c r="P16" s="9">
        <v>0</v>
      </c>
      <c r="Q16" s="9">
        <v>0</v>
      </c>
      <c r="R16" s="9">
        <v>28</v>
      </c>
      <c r="S16" s="9">
        <v>28</v>
      </c>
      <c r="T16" s="9">
        <v>3</v>
      </c>
      <c r="U16" s="9">
        <v>25</v>
      </c>
      <c r="V16" s="9">
        <v>0</v>
      </c>
      <c r="W16" s="9">
        <v>6</v>
      </c>
      <c r="X16" s="9">
        <v>6</v>
      </c>
      <c r="Y16" s="9">
        <v>0</v>
      </c>
      <c r="Z16" s="9">
        <v>28</v>
      </c>
      <c r="AA16" s="9">
        <v>28</v>
      </c>
      <c r="AB16" s="9">
        <v>0</v>
      </c>
      <c r="AC16" s="9">
        <v>1</v>
      </c>
      <c r="AD16" s="9">
        <v>27</v>
      </c>
      <c r="AE16" s="9">
        <v>28</v>
      </c>
      <c r="AF16" s="9">
        <v>0</v>
      </c>
      <c r="AG16" s="9">
        <v>28</v>
      </c>
      <c r="AH16" s="9">
        <v>28</v>
      </c>
      <c r="AI16" s="9">
        <v>28</v>
      </c>
      <c r="AJ16" s="9">
        <v>702</v>
      </c>
      <c r="AK16" s="9">
        <v>407</v>
      </c>
      <c r="AL16" s="9">
        <v>63</v>
      </c>
      <c r="AM16" s="9">
        <v>13</v>
      </c>
      <c r="AN16" s="9">
        <v>1</v>
      </c>
      <c r="AO16" s="9">
        <v>21</v>
      </c>
      <c r="AP16" s="9">
        <v>24</v>
      </c>
      <c r="AQ16" s="9">
        <v>21</v>
      </c>
      <c r="AR16" s="9">
        <v>20</v>
      </c>
      <c r="AS16" s="9">
        <v>8</v>
      </c>
      <c r="AT16" s="9">
        <v>5</v>
      </c>
      <c r="AU16" s="9">
        <v>8</v>
      </c>
      <c r="AV16" s="9">
        <v>8</v>
      </c>
      <c r="AW16" s="9">
        <v>5</v>
      </c>
      <c r="AX16" s="9">
        <v>1</v>
      </c>
      <c r="AY16" s="9">
        <v>1</v>
      </c>
      <c r="AZ16" s="9">
        <v>0</v>
      </c>
      <c r="BA16" s="9">
        <v>0</v>
      </c>
      <c r="BB16" s="9">
        <v>23</v>
      </c>
      <c r="BC16" s="18"/>
      <c r="BD16" s="9"/>
      <c r="BE16" s="9"/>
      <c r="BF16" s="9"/>
      <c r="BG16" s="10">
        <f t="shared" si="6"/>
        <v>75</v>
      </c>
      <c r="BH16" s="10">
        <f t="shared" si="7"/>
        <v>25</v>
      </c>
      <c r="BI16" s="10">
        <f t="shared" si="8"/>
        <v>40</v>
      </c>
      <c r="BJ16" s="10">
        <f t="shared" si="9"/>
        <v>0</v>
      </c>
      <c r="BK16" s="10">
        <f t="shared" si="10"/>
        <v>0</v>
      </c>
      <c r="BL16" s="10">
        <f t="shared" si="11"/>
        <v>60</v>
      </c>
      <c r="BM16" s="10">
        <f t="shared" si="12"/>
        <v>39.285714285714285</v>
      </c>
      <c r="BN16" s="10">
        <f t="shared" si="13"/>
        <v>100</v>
      </c>
      <c r="BO16" s="10">
        <f t="shared" si="14"/>
        <v>100</v>
      </c>
      <c r="BP16" s="10">
        <f t="shared" si="15"/>
        <v>92.857142857142861</v>
      </c>
      <c r="BQ16" s="10">
        <f t="shared" si="16"/>
        <v>0</v>
      </c>
      <c r="BR16" s="10">
        <f t="shared" si="17"/>
        <v>100</v>
      </c>
      <c r="BS16" s="10">
        <f t="shared" si="18"/>
        <v>100</v>
      </c>
      <c r="BT16" s="10">
        <f t="shared" si="19"/>
        <v>10.714285714285714</v>
      </c>
      <c r="BU16" s="10">
        <f t="shared" si="20"/>
        <v>89.285714285714292</v>
      </c>
      <c r="BV16" s="10">
        <f t="shared" si="21"/>
        <v>0</v>
      </c>
      <c r="BW16" s="10">
        <f t="shared" si="0"/>
        <v>21.428571428571427</v>
      </c>
      <c r="BX16" s="10">
        <f t="shared" si="0"/>
        <v>21.428571428571427</v>
      </c>
      <c r="BY16" s="10">
        <f t="shared" si="22"/>
        <v>0</v>
      </c>
      <c r="BZ16" s="10">
        <f t="shared" si="23"/>
        <v>100</v>
      </c>
      <c r="CA16" s="10">
        <f t="shared" si="24"/>
        <v>100</v>
      </c>
      <c r="CB16" s="10">
        <f t="shared" si="25"/>
        <v>0</v>
      </c>
      <c r="CC16" s="10">
        <f t="shared" si="26"/>
        <v>3.5714285714285716</v>
      </c>
      <c r="CD16" s="10">
        <f t="shared" si="27"/>
        <v>96.428571428571431</v>
      </c>
      <c r="CE16" s="10">
        <f t="shared" si="28"/>
        <v>100</v>
      </c>
      <c r="CF16" s="10">
        <f t="shared" si="29"/>
        <v>0</v>
      </c>
      <c r="CG16" s="10">
        <f t="shared" si="30"/>
        <v>100</v>
      </c>
      <c r="CH16" s="10">
        <f t="shared" si="31"/>
        <v>100</v>
      </c>
      <c r="CI16" s="10">
        <f t="shared" si="32"/>
        <v>100</v>
      </c>
      <c r="CJ16" s="10">
        <f t="shared" si="33"/>
        <v>57.977207977207975</v>
      </c>
      <c r="CK16" s="10">
        <f t="shared" si="34"/>
        <v>8.9743589743589745</v>
      </c>
      <c r="CL16" s="10">
        <f t="shared" si="35"/>
        <v>46.428571428571431</v>
      </c>
      <c r="CM16" s="10"/>
      <c r="CN16" s="10">
        <f t="shared" si="36"/>
        <v>75</v>
      </c>
      <c r="CO16" s="10">
        <f t="shared" si="37"/>
        <v>85.714285714285708</v>
      </c>
      <c r="CP16" s="10">
        <f t="shared" si="38"/>
        <v>75</v>
      </c>
      <c r="CQ16" s="10">
        <f t="shared" si="39"/>
        <v>71.428571428571431</v>
      </c>
      <c r="CR16" s="10">
        <f t="shared" si="40"/>
        <v>17.857142857142858</v>
      </c>
      <c r="CS16" s="10">
        <f t="shared" si="41"/>
        <v>82.142857142857139</v>
      </c>
    </row>
    <row r="17" spans="1:97">
      <c r="A17" s="8" t="s">
        <v>153</v>
      </c>
      <c r="B17" s="8" t="s">
        <v>158</v>
      </c>
      <c r="C17" s="21" t="s">
        <v>145</v>
      </c>
      <c r="D17" s="9">
        <v>34</v>
      </c>
      <c r="E17" s="9">
        <v>32</v>
      </c>
      <c r="F17" s="9">
        <v>2</v>
      </c>
      <c r="G17" s="9">
        <v>0</v>
      </c>
      <c r="H17" s="9">
        <v>0</v>
      </c>
      <c r="I17" s="9">
        <v>0</v>
      </c>
      <c r="J17" s="9">
        <v>2</v>
      </c>
      <c r="K17" s="9">
        <v>32</v>
      </c>
      <c r="L17" s="9">
        <v>0</v>
      </c>
      <c r="M17" s="9">
        <v>29</v>
      </c>
      <c r="N17" s="9">
        <v>32</v>
      </c>
      <c r="O17" s="9">
        <v>32</v>
      </c>
      <c r="P17" s="9">
        <v>0</v>
      </c>
      <c r="Q17" s="9">
        <v>0</v>
      </c>
      <c r="R17" s="9">
        <v>32</v>
      </c>
      <c r="S17" s="9">
        <v>32</v>
      </c>
      <c r="T17" s="9">
        <v>4</v>
      </c>
      <c r="U17" s="9">
        <v>28</v>
      </c>
      <c r="V17" s="9">
        <v>0</v>
      </c>
      <c r="W17" s="9">
        <v>15</v>
      </c>
      <c r="X17" s="9">
        <v>14</v>
      </c>
      <c r="Y17" s="9">
        <v>5</v>
      </c>
      <c r="Z17" s="9">
        <v>32</v>
      </c>
      <c r="AA17" s="9">
        <v>27</v>
      </c>
      <c r="AB17" s="9">
        <v>0</v>
      </c>
      <c r="AC17" s="9">
        <v>5</v>
      </c>
      <c r="AD17" s="9">
        <v>27</v>
      </c>
      <c r="AE17" s="9">
        <v>32</v>
      </c>
      <c r="AF17" s="9">
        <v>0</v>
      </c>
      <c r="AG17" s="9">
        <v>32</v>
      </c>
      <c r="AH17" s="9">
        <v>32</v>
      </c>
      <c r="AI17" s="9">
        <v>32</v>
      </c>
      <c r="AJ17" s="9">
        <v>768</v>
      </c>
      <c r="AK17" s="9">
        <v>531</v>
      </c>
      <c r="AL17" s="9">
        <v>55</v>
      </c>
      <c r="AM17" s="9">
        <v>25</v>
      </c>
      <c r="AN17" s="9">
        <v>0</v>
      </c>
      <c r="AO17" s="9">
        <v>32</v>
      </c>
      <c r="AP17" s="9">
        <v>5</v>
      </c>
      <c r="AQ17" s="9">
        <v>32</v>
      </c>
      <c r="AR17" s="9">
        <v>29</v>
      </c>
      <c r="AS17" s="9">
        <v>0</v>
      </c>
      <c r="AT17" s="9">
        <v>5</v>
      </c>
      <c r="AU17" s="9">
        <v>6</v>
      </c>
      <c r="AV17" s="9">
        <v>8</v>
      </c>
      <c r="AW17" s="9">
        <v>9</v>
      </c>
      <c r="AX17" s="9">
        <v>3</v>
      </c>
      <c r="AY17" s="9">
        <v>1</v>
      </c>
      <c r="AZ17" s="9">
        <v>0</v>
      </c>
      <c r="BA17" s="9">
        <v>0</v>
      </c>
      <c r="BB17" s="9">
        <v>27</v>
      </c>
      <c r="BC17" s="18"/>
      <c r="BD17" s="9"/>
      <c r="BE17" s="9"/>
      <c r="BF17" s="9"/>
      <c r="BG17" s="10">
        <f t="shared" si="6"/>
        <v>94.117647058823536</v>
      </c>
      <c r="BH17" s="10">
        <f t="shared" si="7"/>
        <v>5.882352941176471</v>
      </c>
      <c r="BI17" s="10">
        <f t="shared" si="8"/>
        <v>0</v>
      </c>
      <c r="BJ17" s="10">
        <f t="shared" si="9"/>
        <v>0</v>
      </c>
      <c r="BK17" s="10">
        <f t="shared" si="10"/>
        <v>0</v>
      </c>
      <c r="BL17" s="10">
        <f t="shared" si="11"/>
        <v>100</v>
      </c>
      <c r="BM17" s="10">
        <f t="shared" si="12"/>
        <v>0</v>
      </c>
      <c r="BN17" s="10">
        <f t="shared" si="13"/>
        <v>90.625</v>
      </c>
      <c r="BO17" s="10">
        <f t="shared" si="14"/>
        <v>100</v>
      </c>
      <c r="BP17" s="10">
        <f t="shared" si="15"/>
        <v>100</v>
      </c>
      <c r="BQ17" s="10">
        <f t="shared" si="16"/>
        <v>0</v>
      </c>
      <c r="BR17" s="10">
        <f t="shared" si="17"/>
        <v>100</v>
      </c>
      <c r="BS17" s="10">
        <f t="shared" si="18"/>
        <v>100</v>
      </c>
      <c r="BT17" s="10">
        <f t="shared" si="19"/>
        <v>12.5</v>
      </c>
      <c r="BU17" s="10">
        <f t="shared" si="20"/>
        <v>87.5</v>
      </c>
      <c r="BV17" s="10">
        <f t="shared" si="21"/>
        <v>0</v>
      </c>
      <c r="BW17" s="10">
        <f t="shared" si="0"/>
        <v>46.875</v>
      </c>
      <c r="BX17" s="10">
        <f t="shared" si="0"/>
        <v>43.75</v>
      </c>
      <c r="BY17" s="10">
        <f t="shared" si="22"/>
        <v>15.625</v>
      </c>
      <c r="BZ17" s="10">
        <f t="shared" si="23"/>
        <v>100</v>
      </c>
      <c r="CA17" s="10">
        <f t="shared" si="24"/>
        <v>84.375</v>
      </c>
      <c r="CB17" s="10">
        <f t="shared" si="25"/>
        <v>0</v>
      </c>
      <c r="CC17" s="10">
        <f t="shared" si="26"/>
        <v>15.625</v>
      </c>
      <c r="CD17" s="10">
        <f t="shared" si="27"/>
        <v>84.375</v>
      </c>
      <c r="CE17" s="10">
        <f t="shared" si="28"/>
        <v>100</v>
      </c>
      <c r="CF17" s="10">
        <f t="shared" si="29"/>
        <v>0</v>
      </c>
      <c r="CG17" s="10">
        <f t="shared" si="30"/>
        <v>100</v>
      </c>
      <c r="CH17" s="10">
        <f t="shared" si="31"/>
        <v>100</v>
      </c>
      <c r="CI17" s="10">
        <f t="shared" si="32"/>
        <v>100</v>
      </c>
      <c r="CJ17" s="10">
        <f t="shared" si="33"/>
        <v>69.140625</v>
      </c>
      <c r="CK17" s="10">
        <f t="shared" si="34"/>
        <v>7.161458333333333</v>
      </c>
      <c r="CL17" s="10">
        <f t="shared" si="35"/>
        <v>78.125</v>
      </c>
      <c r="CM17" s="10"/>
      <c r="CN17" s="10">
        <f t="shared" si="36"/>
        <v>100</v>
      </c>
      <c r="CO17" s="10">
        <f t="shared" si="37"/>
        <v>15.625</v>
      </c>
      <c r="CP17" s="10">
        <f t="shared" si="38"/>
        <v>100</v>
      </c>
      <c r="CQ17" s="10">
        <f t="shared" si="39"/>
        <v>100</v>
      </c>
      <c r="CR17" s="10">
        <f t="shared" si="40"/>
        <v>15.625</v>
      </c>
      <c r="CS17" s="10">
        <f t="shared" si="41"/>
        <v>84.375</v>
      </c>
    </row>
    <row r="18" spans="1:97">
      <c r="A18" s="8" t="s">
        <v>153</v>
      </c>
      <c r="B18" s="8" t="s">
        <v>159</v>
      </c>
      <c r="C18" s="21" t="s">
        <v>145</v>
      </c>
      <c r="D18" s="9">
        <v>40</v>
      </c>
      <c r="E18" s="9">
        <v>40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32</v>
      </c>
      <c r="L18" s="9">
        <v>4</v>
      </c>
      <c r="M18" s="9">
        <v>32</v>
      </c>
      <c r="N18" s="9">
        <v>32</v>
      </c>
      <c r="O18" s="9">
        <v>32</v>
      </c>
      <c r="P18" s="9">
        <v>0</v>
      </c>
      <c r="Q18" s="9">
        <v>0</v>
      </c>
      <c r="R18" s="9">
        <v>32</v>
      </c>
      <c r="S18" s="9">
        <v>31</v>
      </c>
      <c r="T18" s="9">
        <v>3</v>
      </c>
      <c r="U18" s="9">
        <v>29</v>
      </c>
      <c r="V18" s="9">
        <v>0</v>
      </c>
      <c r="W18" s="9">
        <v>1</v>
      </c>
      <c r="X18" s="9">
        <v>1</v>
      </c>
      <c r="Y18" s="9">
        <v>12</v>
      </c>
      <c r="Z18" s="9">
        <v>32</v>
      </c>
      <c r="AA18" s="9">
        <v>20</v>
      </c>
      <c r="AB18" s="9">
        <v>0</v>
      </c>
      <c r="AC18" s="9">
        <v>2</v>
      </c>
      <c r="AD18" s="9">
        <v>30</v>
      </c>
      <c r="AE18" s="9">
        <v>32</v>
      </c>
      <c r="AF18" s="9">
        <v>0</v>
      </c>
      <c r="AG18" s="9">
        <v>32</v>
      </c>
      <c r="AH18" s="9">
        <v>32</v>
      </c>
      <c r="AI18" s="9">
        <v>32</v>
      </c>
      <c r="AJ18" s="9">
        <v>1822</v>
      </c>
      <c r="AK18" s="9">
        <v>821</v>
      </c>
      <c r="AL18" s="9">
        <v>170</v>
      </c>
      <c r="AM18" s="9">
        <v>18</v>
      </c>
      <c r="AN18" s="9">
        <v>0</v>
      </c>
      <c r="AO18" s="9">
        <v>32</v>
      </c>
      <c r="AP18" s="9">
        <v>32</v>
      </c>
      <c r="AQ18" s="9">
        <v>32</v>
      </c>
      <c r="AR18" s="9">
        <v>29</v>
      </c>
      <c r="AS18" s="9">
        <v>0</v>
      </c>
      <c r="AT18" s="9">
        <v>1</v>
      </c>
      <c r="AU18" s="9">
        <v>8</v>
      </c>
      <c r="AV18" s="9">
        <v>15</v>
      </c>
      <c r="AW18" s="9">
        <v>8</v>
      </c>
      <c r="AX18" s="9">
        <v>0</v>
      </c>
      <c r="AY18" s="9">
        <v>0</v>
      </c>
      <c r="AZ18" s="9">
        <v>0</v>
      </c>
      <c r="BA18" s="9">
        <v>0</v>
      </c>
      <c r="BB18" s="9">
        <v>31</v>
      </c>
      <c r="BC18" s="18"/>
      <c r="BD18" s="9"/>
      <c r="BE18" s="9"/>
      <c r="BF18" s="9"/>
      <c r="BG18" s="10">
        <f t="shared" si="6"/>
        <v>100</v>
      </c>
      <c r="BH18" s="10">
        <f t="shared" si="7"/>
        <v>0</v>
      </c>
      <c r="BI18" s="10" t="e">
        <f t="shared" si="8"/>
        <v>#DIV/0!</v>
      </c>
      <c r="BJ18" s="10" t="e">
        <f t="shared" si="9"/>
        <v>#DIV/0!</v>
      </c>
      <c r="BK18" s="10" t="e">
        <f t="shared" si="10"/>
        <v>#DIV/0!</v>
      </c>
      <c r="BL18" s="10" t="e">
        <f t="shared" si="11"/>
        <v>#DIV/0!</v>
      </c>
      <c r="BM18" s="10">
        <f t="shared" si="12"/>
        <v>12.5</v>
      </c>
      <c r="BN18" s="10">
        <f t="shared" si="13"/>
        <v>100</v>
      </c>
      <c r="BO18" s="10">
        <f t="shared" si="14"/>
        <v>100</v>
      </c>
      <c r="BP18" s="10">
        <f t="shared" si="15"/>
        <v>100</v>
      </c>
      <c r="BQ18" s="10">
        <f t="shared" si="16"/>
        <v>0</v>
      </c>
      <c r="BR18" s="10">
        <f t="shared" si="17"/>
        <v>100</v>
      </c>
      <c r="BS18" s="10">
        <f t="shared" si="18"/>
        <v>96.875</v>
      </c>
      <c r="BT18" s="10">
        <f t="shared" si="19"/>
        <v>9.375</v>
      </c>
      <c r="BU18" s="10">
        <f t="shared" si="20"/>
        <v>90.625</v>
      </c>
      <c r="BV18" s="10">
        <f t="shared" si="21"/>
        <v>0</v>
      </c>
      <c r="BW18" s="10">
        <f t="shared" si="0"/>
        <v>3.125</v>
      </c>
      <c r="BX18" s="10">
        <f t="shared" si="0"/>
        <v>3.125</v>
      </c>
      <c r="BY18" s="10">
        <f t="shared" si="22"/>
        <v>37.5</v>
      </c>
      <c r="BZ18" s="10">
        <f t="shared" si="23"/>
        <v>100</v>
      </c>
      <c r="CA18" s="10">
        <f t="shared" si="24"/>
        <v>62.5</v>
      </c>
      <c r="CB18" s="10">
        <f t="shared" si="25"/>
        <v>0</v>
      </c>
      <c r="CC18" s="10">
        <f t="shared" si="26"/>
        <v>6.25</v>
      </c>
      <c r="CD18" s="10">
        <f t="shared" si="27"/>
        <v>93.75</v>
      </c>
      <c r="CE18" s="10">
        <f t="shared" si="28"/>
        <v>100</v>
      </c>
      <c r="CF18" s="10">
        <f t="shared" si="29"/>
        <v>0</v>
      </c>
      <c r="CG18" s="10">
        <f t="shared" si="30"/>
        <v>100</v>
      </c>
      <c r="CH18" s="10">
        <f t="shared" si="31"/>
        <v>100</v>
      </c>
      <c r="CI18" s="10">
        <f t="shared" si="32"/>
        <v>100</v>
      </c>
      <c r="CJ18" s="10">
        <f t="shared" si="33"/>
        <v>45.060373216245885</v>
      </c>
      <c r="CK18" s="10">
        <f t="shared" si="34"/>
        <v>9.330406147091109</v>
      </c>
      <c r="CL18" s="10">
        <f t="shared" si="35"/>
        <v>56.25</v>
      </c>
      <c r="CM18" s="10"/>
      <c r="CN18" s="10">
        <f t="shared" si="36"/>
        <v>100</v>
      </c>
      <c r="CO18" s="10">
        <f t="shared" si="37"/>
        <v>100</v>
      </c>
      <c r="CP18" s="10">
        <f t="shared" si="38"/>
        <v>100</v>
      </c>
      <c r="CQ18" s="10">
        <f t="shared" si="39"/>
        <v>100</v>
      </c>
      <c r="CR18" s="10">
        <f t="shared" si="40"/>
        <v>3.125</v>
      </c>
      <c r="CS18" s="10">
        <f t="shared" si="41"/>
        <v>96.875</v>
      </c>
    </row>
    <row r="19" spans="1:97">
      <c r="A19" s="8" t="s">
        <v>153</v>
      </c>
      <c r="B19" s="8" t="s">
        <v>160</v>
      </c>
      <c r="C19" s="21" t="s">
        <v>145</v>
      </c>
      <c r="D19" s="9">
        <v>34</v>
      </c>
      <c r="E19" s="9">
        <v>31</v>
      </c>
      <c r="F19" s="9">
        <v>3</v>
      </c>
      <c r="G19" s="9">
        <v>0</v>
      </c>
      <c r="H19" s="9">
        <v>0</v>
      </c>
      <c r="I19" s="9">
        <v>0</v>
      </c>
      <c r="J19" s="9">
        <v>3</v>
      </c>
      <c r="K19" s="9">
        <v>31</v>
      </c>
      <c r="L19" s="9">
        <v>0</v>
      </c>
      <c r="M19" s="9">
        <v>30</v>
      </c>
      <c r="N19" s="9">
        <v>31</v>
      </c>
      <c r="O19" s="9">
        <v>31</v>
      </c>
      <c r="P19" s="9">
        <v>0</v>
      </c>
      <c r="Q19" s="9">
        <v>0</v>
      </c>
      <c r="R19" s="9">
        <v>30</v>
      </c>
      <c r="S19" s="9">
        <v>29</v>
      </c>
      <c r="T19" s="9">
        <v>7</v>
      </c>
      <c r="U19" s="9">
        <v>24</v>
      </c>
      <c r="V19" s="9">
        <v>0</v>
      </c>
      <c r="W19" s="9">
        <v>10</v>
      </c>
      <c r="X19" s="9">
        <v>7</v>
      </c>
      <c r="Y19" s="9">
        <v>9</v>
      </c>
      <c r="Z19" s="9">
        <v>31</v>
      </c>
      <c r="AA19" s="9">
        <v>22</v>
      </c>
      <c r="AB19" s="9">
        <v>0</v>
      </c>
      <c r="AC19" s="9">
        <v>10</v>
      </c>
      <c r="AD19" s="9">
        <v>21</v>
      </c>
      <c r="AE19" s="9">
        <v>31</v>
      </c>
      <c r="AF19" s="9">
        <v>0</v>
      </c>
      <c r="AG19" s="9">
        <v>31</v>
      </c>
      <c r="AH19" s="9">
        <v>31</v>
      </c>
      <c r="AI19" s="9">
        <v>31</v>
      </c>
      <c r="AJ19" s="9">
        <v>1322</v>
      </c>
      <c r="AK19" s="9">
        <v>1012</v>
      </c>
      <c r="AL19" s="9">
        <v>101</v>
      </c>
      <c r="AM19" s="9">
        <v>20</v>
      </c>
      <c r="AN19" s="9">
        <v>0</v>
      </c>
      <c r="AO19" s="9">
        <v>29</v>
      </c>
      <c r="AP19" s="9">
        <v>6</v>
      </c>
      <c r="AQ19" s="9">
        <v>29</v>
      </c>
      <c r="AR19" s="9">
        <v>27</v>
      </c>
      <c r="AS19" s="9">
        <v>0</v>
      </c>
      <c r="AT19" s="9">
        <v>25</v>
      </c>
      <c r="AU19" s="9">
        <v>6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6</v>
      </c>
      <c r="BC19" s="18"/>
      <c r="BD19" s="9"/>
      <c r="BE19" s="9"/>
      <c r="BF19" s="9"/>
      <c r="BG19" s="10">
        <f t="shared" si="6"/>
        <v>91.17647058823529</v>
      </c>
      <c r="BH19" s="10">
        <f t="shared" si="7"/>
        <v>8.8235294117647065</v>
      </c>
      <c r="BI19" s="10">
        <f t="shared" si="8"/>
        <v>0</v>
      </c>
      <c r="BJ19" s="10">
        <f t="shared" si="9"/>
        <v>0</v>
      </c>
      <c r="BK19" s="10">
        <f t="shared" si="10"/>
        <v>0</v>
      </c>
      <c r="BL19" s="10">
        <f t="shared" si="11"/>
        <v>100</v>
      </c>
      <c r="BM19" s="10">
        <f t="shared" si="12"/>
        <v>0</v>
      </c>
      <c r="BN19" s="10">
        <f t="shared" si="13"/>
        <v>96.774193548387103</v>
      </c>
      <c r="BO19" s="10">
        <f t="shared" si="14"/>
        <v>100</v>
      </c>
      <c r="BP19" s="10">
        <f t="shared" si="15"/>
        <v>100</v>
      </c>
      <c r="BQ19" s="10">
        <f t="shared" si="16"/>
        <v>0</v>
      </c>
      <c r="BR19" s="10">
        <f t="shared" si="17"/>
        <v>96.774193548387103</v>
      </c>
      <c r="BS19" s="10">
        <f t="shared" si="18"/>
        <v>96.666666666666671</v>
      </c>
      <c r="BT19" s="10">
        <f t="shared" si="19"/>
        <v>22.580645161290324</v>
      </c>
      <c r="BU19" s="10">
        <f t="shared" si="20"/>
        <v>77.41935483870968</v>
      </c>
      <c r="BV19" s="10">
        <f t="shared" si="21"/>
        <v>0</v>
      </c>
      <c r="BW19" s="10">
        <f t="shared" si="0"/>
        <v>32.258064516129032</v>
      </c>
      <c r="BX19" s="10">
        <f t="shared" si="0"/>
        <v>22.580645161290324</v>
      </c>
      <c r="BY19" s="10">
        <f t="shared" si="22"/>
        <v>29.032258064516128</v>
      </c>
      <c r="BZ19" s="10">
        <f t="shared" si="23"/>
        <v>100</v>
      </c>
      <c r="CA19" s="10">
        <f t="shared" si="24"/>
        <v>70.967741935483872</v>
      </c>
      <c r="CB19" s="10">
        <f t="shared" si="25"/>
        <v>0</v>
      </c>
      <c r="CC19" s="10">
        <f t="shared" si="26"/>
        <v>32.258064516129032</v>
      </c>
      <c r="CD19" s="10">
        <f t="shared" si="27"/>
        <v>67.741935483870961</v>
      </c>
      <c r="CE19" s="10">
        <f t="shared" si="28"/>
        <v>100</v>
      </c>
      <c r="CF19" s="10">
        <f t="shared" si="29"/>
        <v>0</v>
      </c>
      <c r="CG19" s="10">
        <f t="shared" si="30"/>
        <v>100</v>
      </c>
      <c r="CH19" s="10">
        <f t="shared" si="31"/>
        <v>100</v>
      </c>
      <c r="CI19" s="10">
        <f t="shared" si="32"/>
        <v>100</v>
      </c>
      <c r="CJ19" s="10">
        <f t="shared" si="33"/>
        <v>76.55068078668684</v>
      </c>
      <c r="CK19" s="10">
        <f t="shared" si="34"/>
        <v>7.6399394856278366</v>
      </c>
      <c r="CL19" s="10">
        <f t="shared" si="35"/>
        <v>64.516129032258064</v>
      </c>
      <c r="CM19" s="10"/>
      <c r="CN19" s="10">
        <f t="shared" si="36"/>
        <v>93.548387096774192</v>
      </c>
      <c r="CO19" s="10">
        <f t="shared" si="37"/>
        <v>19.35483870967742</v>
      </c>
      <c r="CP19" s="10">
        <f t="shared" si="38"/>
        <v>93.548387096774192</v>
      </c>
      <c r="CQ19" s="10">
        <f t="shared" si="39"/>
        <v>100</v>
      </c>
      <c r="CR19" s="10">
        <f t="shared" si="40"/>
        <v>80.645161290322577</v>
      </c>
      <c r="CS19" s="10">
        <f t="shared" si="41"/>
        <v>19.35483870967742</v>
      </c>
    </row>
    <row r="20" spans="1:97">
      <c r="A20" s="22" t="s">
        <v>161</v>
      </c>
      <c r="B20" s="22"/>
      <c r="C20" s="23" t="s">
        <v>145</v>
      </c>
      <c r="D20" s="24">
        <v>253</v>
      </c>
      <c r="E20" s="24">
        <v>232</v>
      </c>
      <c r="F20" s="24">
        <v>21</v>
      </c>
      <c r="G20" s="24">
        <v>8</v>
      </c>
      <c r="H20" s="24">
        <v>1</v>
      </c>
      <c r="I20" s="24">
        <v>0</v>
      </c>
      <c r="J20" s="24">
        <v>12</v>
      </c>
      <c r="K20" s="24">
        <v>206</v>
      </c>
      <c r="L20" s="24">
        <v>51</v>
      </c>
      <c r="M20" s="24">
        <v>195</v>
      </c>
      <c r="N20" s="24">
        <v>206</v>
      </c>
      <c r="O20" s="24">
        <v>201</v>
      </c>
      <c r="P20" s="24">
        <v>0</v>
      </c>
      <c r="Q20" s="24">
        <v>0</v>
      </c>
      <c r="R20" s="24">
        <v>195</v>
      </c>
      <c r="S20" s="24">
        <v>187</v>
      </c>
      <c r="T20" s="24">
        <v>22</v>
      </c>
      <c r="U20" s="24">
        <v>183</v>
      </c>
      <c r="V20" s="24">
        <v>1</v>
      </c>
      <c r="W20" s="24">
        <v>51</v>
      </c>
      <c r="X20" s="24">
        <v>45</v>
      </c>
      <c r="Y20" s="24">
        <v>34</v>
      </c>
      <c r="Z20" s="24">
        <v>206</v>
      </c>
      <c r="AA20" s="24">
        <v>172</v>
      </c>
      <c r="AB20" s="24">
        <v>0</v>
      </c>
      <c r="AC20" s="24">
        <v>26</v>
      </c>
      <c r="AD20" s="24">
        <v>180</v>
      </c>
      <c r="AE20" s="24">
        <v>206</v>
      </c>
      <c r="AF20" s="24">
        <v>0</v>
      </c>
      <c r="AG20" s="24">
        <v>206</v>
      </c>
      <c r="AH20" s="24">
        <v>206</v>
      </c>
      <c r="AI20" s="24">
        <v>206</v>
      </c>
      <c r="AJ20" s="24">
        <v>7255</v>
      </c>
      <c r="AK20" s="24">
        <v>4390</v>
      </c>
      <c r="AL20" s="24">
        <v>429</v>
      </c>
      <c r="AM20" s="24">
        <v>83</v>
      </c>
      <c r="AN20" s="24">
        <v>1</v>
      </c>
      <c r="AO20" s="24">
        <v>192</v>
      </c>
      <c r="AP20" s="24">
        <v>141</v>
      </c>
      <c r="AQ20" s="24">
        <v>192</v>
      </c>
      <c r="AR20" s="24">
        <v>170</v>
      </c>
      <c r="AS20" s="24">
        <v>20</v>
      </c>
      <c r="AT20" s="24">
        <v>72</v>
      </c>
      <c r="AU20" s="24">
        <v>75</v>
      </c>
      <c r="AV20" s="24">
        <v>31</v>
      </c>
      <c r="AW20" s="24">
        <v>22</v>
      </c>
      <c r="AX20" s="24">
        <v>4</v>
      </c>
      <c r="AY20" s="24">
        <v>2</v>
      </c>
      <c r="AZ20" s="24">
        <v>0</v>
      </c>
      <c r="BA20" s="24">
        <v>0</v>
      </c>
      <c r="BB20" s="24">
        <v>134</v>
      </c>
      <c r="BC20" s="25"/>
      <c r="BD20" s="24"/>
      <c r="BE20" s="24"/>
      <c r="BF20" s="24"/>
      <c r="BG20" s="26">
        <f t="shared" si="6"/>
        <v>91.699604743083</v>
      </c>
      <c r="BH20" s="26">
        <f t="shared" si="7"/>
        <v>8.3003952569169961</v>
      </c>
      <c r="BI20" s="26">
        <f t="shared" si="8"/>
        <v>38.095238095238095</v>
      </c>
      <c r="BJ20" s="26">
        <f t="shared" si="9"/>
        <v>4.7619047619047619</v>
      </c>
      <c r="BK20" s="26">
        <f t="shared" si="10"/>
        <v>0</v>
      </c>
      <c r="BL20" s="26">
        <f t="shared" si="11"/>
        <v>57.142857142857146</v>
      </c>
      <c r="BM20" s="26">
        <f t="shared" si="12"/>
        <v>24.757281553398059</v>
      </c>
      <c r="BN20" s="26">
        <f t="shared" si="13"/>
        <v>94.660194174757279</v>
      </c>
      <c r="BO20" s="26">
        <f t="shared" si="14"/>
        <v>100</v>
      </c>
      <c r="BP20" s="26">
        <f t="shared" si="15"/>
        <v>97.572815533980588</v>
      </c>
      <c r="BQ20" s="26">
        <f t="shared" si="16"/>
        <v>0</v>
      </c>
      <c r="BR20" s="26">
        <f t="shared" si="17"/>
        <v>94.660194174757279</v>
      </c>
      <c r="BS20" s="26">
        <f t="shared" si="18"/>
        <v>95.897435897435898</v>
      </c>
      <c r="BT20" s="26">
        <f t="shared" si="19"/>
        <v>10.679611650485437</v>
      </c>
      <c r="BU20" s="26">
        <f t="shared" si="20"/>
        <v>88.834951456310677</v>
      </c>
      <c r="BV20" s="26">
        <f t="shared" si="21"/>
        <v>0.4854368932038835</v>
      </c>
      <c r="BW20" s="26">
        <f t="shared" si="0"/>
        <v>24.757281553398059</v>
      </c>
      <c r="BX20" s="26">
        <f t="shared" si="0"/>
        <v>21.844660194174757</v>
      </c>
      <c r="BY20" s="26">
        <f t="shared" si="22"/>
        <v>16.50485436893204</v>
      </c>
      <c r="BZ20" s="26">
        <f t="shared" si="23"/>
        <v>100</v>
      </c>
      <c r="CA20" s="26">
        <f t="shared" si="24"/>
        <v>83.495145631067956</v>
      </c>
      <c r="CB20" s="26">
        <f t="shared" si="25"/>
        <v>0</v>
      </c>
      <c r="CC20" s="26">
        <f t="shared" si="26"/>
        <v>12.621359223300971</v>
      </c>
      <c r="CD20" s="26">
        <f t="shared" si="27"/>
        <v>87.378640776699029</v>
      </c>
      <c r="CE20" s="26">
        <f t="shared" si="28"/>
        <v>100</v>
      </c>
      <c r="CF20" s="26">
        <f t="shared" si="29"/>
        <v>0</v>
      </c>
      <c r="CG20" s="26">
        <f t="shared" si="30"/>
        <v>100</v>
      </c>
      <c r="CH20" s="26">
        <f t="shared" si="31"/>
        <v>100</v>
      </c>
      <c r="CI20" s="26">
        <f t="shared" si="32"/>
        <v>100</v>
      </c>
      <c r="CJ20" s="26">
        <f t="shared" si="33"/>
        <v>60.509993108201243</v>
      </c>
      <c r="CK20" s="26">
        <f t="shared" si="34"/>
        <v>5.9131633356305997</v>
      </c>
      <c r="CL20" s="26">
        <f t="shared" si="35"/>
        <v>40.291262135922331</v>
      </c>
      <c r="CM20" s="26"/>
      <c r="CN20" s="26">
        <f t="shared" si="36"/>
        <v>93.203883495145632</v>
      </c>
      <c r="CO20" s="26">
        <f t="shared" si="37"/>
        <v>68.446601941747574</v>
      </c>
      <c r="CP20" s="26">
        <f t="shared" si="38"/>
        <v>93.203883495145632</v>
      </c>
      <c r="CQ20" s="26">
        <f t="shared" si="39"/>
        <v>89.473684210526315</v>
      </c>
      <c r="CR20" s="26">
        <f t="shared" si="40"/>
        <v>34.95145631067961</v>
      </c>
      <c r="CS20" s="26">
        <f t="shared" si="41"/>
        <v>65.048543689320383</v>
      </c>
    </row>
    <row r="21" spans="1:97">
      <c r="A21" s="8" t="s">
        <v>162</v>
      </c>
      <c r="B21" s="8" t="s">
        <v>163</v>
      </c>
      <c r="C21" s="21" t="s">
        <v>145</v>
      </c>
      <c r="D21" s="9">
        <v>40</v>
      </c>
      <c r="E21" s="9">
        <v>35</v>
      </c>
      <c r="F21" s="9">
        <v>5</v>
      </c>
      <c r="G21" s="9">
        <v>1</v>
      </c>
      <c r="H21" s="9">
        <v>0</v>
      </c>
      <c r="I21" s="9">
        <v>0</v>
      </c>
      <c r="J21" s="9">
        <v>4</v>
      </c>
      <c r="K21" s="9">
        <v>31</v>
      </c>
      <c r="L21" s="9">
        <v>31</v>
      </c>
      <c r="M21" s="9">
        <v>31</v>
      </c>
      <c r="N21" s="9">
        <v>31</v>
      </c>
      <c r="O21" s="9">
        <v>31</v>
      </c>
      <c r="P21" s="9">
        <v>0</v>
      </c>
      <c r="Q21" s="9">
        <v>0</v>
      </c>
      <c r="R21" s="9">
        <v>29</v>
      </c>
      <c r="S21" s="9">
        <v>29</v>
      </c>
      <c r="T21" s="9">
        <v>4</v>
      </c>
      <c r="U21" s="9">
        <v>27</v>
      </c>
      <c r="V21" s="9">
        <v>0</v>
      </c>
      <c r="W21" s="9">
        <v>21</v>
      </c>
      <c r="X21" s="9">
        <v>21</v>
      </c>
      <c r="Y21" s="9">
        <v>6</v>
      </c>
      <c r="Z21" s="9">
        <v>31</v>
      </c>
      <c r="AA21" s="9">
        <v>25</v>
      </c>
      <c r="AB21" s="9">
        <v>0</v>
      </c>
      <c r="AC21" s="9">
        <v>2</v>
      </c>
      <c r="AD21" s="9">
        <v>29</v>
      </c>
      <c r="AE21" s="9">
        <v>31</v>
      </c>
      <c r="AF21" s="9">
        <v>0</v>
      </c>
      <c r="AG21" s="9">
        <v>31</v>
      </c>
      <c r="AH21" s="9">
        <v>31</v>
      </c>
      <c r="AI21" s="9">
        <v>31</v>
      </c>
      <c r="AJ21" s="9">
        <v>2551</v>
      </c>
      <c r="AK21" s="9">
        <v>2405</v>
      </c>
      <c r="AL21" s="9">
        <v>120</v>
      </c>
      <c r="AM21" s="9">
        <v>22</v>
      </c>
      <c r="AN21" s="9">
        <v>0</v>
      </c>
      <c r="AO21" s="9">
        <v>28</v>
      </c>
      <c r="AP21" s="9">
        <v>11</v>
      </c>
      <c r="AQ21" s="9">
        <v>28</v>
      </c>
      <c r="AR21" s="9">
        <v>7</v>
      </c>
      <c r="AS21" s="9">
        <v>21</v>
      </c>
      <c r="AT21" s="9">
        <v>6</v>
      </c>
      <c r="AU21" s="9">
        <v>11</v>
      </c>
      <c r="AV21" s="9">
        <v>4</v>
      </c>
      <c r="AW21" s="9">
        <v>6</v>
      </c>
      <c r="AX21" s="9">
        <v>1</v>
      </c>
      <c r="AY21" s="9">
        <v>1</v>
      </c>
      <c r="AZ21" s="9">
        <v>0</v>
      </c>
      <c r="BA21" s="9">
        <v>2</v>
      </c>
      <c r="BB21" s="9">
        <v>25</v>
      </c>
      <c r="BC21" s="18"/>
      <c r="BD21" s="9"/>
      <c r="BE21" s="9"/>
      <c r="BF21" s="9"/>
      <c r="BG21" s="10">
        <f t="shared" si="6"/>
        <v>87.5</v>
      </c>
      <c r="BH21" s="10">
        <f t="shared" si="7"/>
        <v>12.5</v>
      </c>
      <c r="BI21" s="10">
        <f t="shared" si="8"/>
        <v>20</v>
      </c>
      <c r="BJ21" s="10">
        <f t="shared" si="9"/>
        <v>0</v>
      </c>
      <c r="BK21" s="10">
        <f t="shared" si="10"/>
        <v>0</v>
      </c>
      <c r="BL21" s="10">
        <f t="shared" si="11"/>
        <v>80</v>
      </c>
      <c r="BM21" s="10">
        <f t="shared" si="12"/>
        <v>100</v>
      </c>
      <c r="BN21" s="10">
        <f t="shared" si="13"/>
        <v>100</v>
      </c>
      <c r="BO21" s="10">
        <f t="shared" si="14"/>
        <v>100</v>
      </c>
      <c r="BP21" s="10">
        <f t="shared" si="15"/>
        <v>100</v>
      </c>
      <c r="BQ21" s="10">
        <f t="shared" si="16"/>
        <v>0</v>
      </c>
      <c r="BR21" s="10">
        <f t="shared" si="17"/>
        <v>93.548387096774192</v>
      </c>
      <c r="BS21" s="10">
        <f t="shared" si="18"/>
        <v>100</v>
      </c>
      <c r="BT21" s="10">
        <f t="shared" si="19"/>
        <v>12.903225806451612</v>
      </c>
      <c r="BU21" s="10">
        <f t="shared" si="20"/>
        <v>87.096774193548384</v>
      </c>
      <c r="BV21" s="10">
        <f t="shared" si="21"/>
        <v>0</v>
      </c>
      <c r="BW21" s="10">
        <f t="shared" si="0"/>
        <v>67.741935483870961</v>
      </c>
      <c r="BX21" s="10">
        <f t="shared" si="0"/>
        <v>67.741935483870961</v>
      </c>
      <c r="BY21" s="10">
        <f t="shared" si="22"/>
        <v>19.35483870967742</v>
      </c>
      <c r="BZ21" s="10">
        <f t="shared" si="23"/>
        <v>100</v>
      </c>
      <c r="CA21" s="10">
        <f t="shared" si="24"/>
        <v>80.645161290322577</v>
      </c>
      <c r="CB21" s="10">
        <f t="shared" si="25"/>
        <v>0</v>
      </c>
      <c r="CC21" s="10">
        <f t="shared" si="26"/>
        <v>6.4516129032258061</v>
      </c>
      <c r="CD21" s="10">
        <f t="shared" si="27"/>
        <v>93.548387096774192</v>
      </c>
      <c r="CE21" s="10">
        <f t="shared" si="28"/>
        <v>100</v>
      </c>
      <c r="CF21" s="10">
        <f t="shared" si="29"/>
        <v>0</v>
      </c>
      <c r="CG21" s="10">
        <f t="shared" si="30"/>
        <v>100</v>
      </c>
      <c r="CH21" s="10">
        <f t="shared" si="31"/>
        <v>100</v>
      </c>
      <c r="CI21" s="10">
        <f t="shared" si="32"/>
        <v>100</v>
      </c>
      <c r="CJ21" s="10">
        <f t="shared" si="33"/>
        <v>94.276754214033716</v>
      </c>
      <c r="CK21" s="10">
        <f t="shared" si="34"/>
        <v>4.7040376323010582</v>
      </c>
      <c r="CL21" s="10">
        <f t="shared" si="35"/>
        <v>70.967741935483872</v>
      </c>
      <c r="CM21" s="10"/>
      <c r="CN21" s="10">
        <f t="shared" si="36"/>
        <v>90.322580645161295</v>
      </c>
      <c r="CO21" s="10">
        <f t="shared" si="37"/>
        <v>35.483870967741936</v>
      </c>
      <c r="CP21" s="10">
        <f t="shared" si="38"/>
        <v>90.322580645161295</v>
      </c>
      <c r="CQ21" s="10">
        <f t="shared" si="39"/>
        <v>25</v>
      </c>
      <c r="CR21" s="10">
        <f t="shared" si="40"/>
        <v>19.35483870967742</v>
      </c>
      <c r="CS21" s="10">
        <f t="shared" si="41"/>
        <v>80.645161290322577</v>
      </c>
    </row>
    <row r="22" spans="1:97">
      <c r="A22" s="22" t="s">
        <v>164</v>
      </c>
      <c r="B22" s="22"/>
      <c r="C22" s="23" t="s">
        <v>145</v>
      </c>
      <c r="D22" s="24">
        <v>40</v>
      </c>
      <c r="E22" s="24">
        <v>35</v>
      </c>
      <c r="F22" s="24">
        <v>5</v>
      </c>
      <c r="G22" s="24">
        <v>1</v>
      </c>
      <c r="H22" s="24">
        <v>0</v>
      </c>
      <c r="I22" s="24">
        <v>0</v>
      </c>
      <c r="J22" s="24">
        <v>4</v>
      </c>
      <c r="K22" s="24">
        <v>31</v>
      </c>
      <c r="L22" s="24">
        <v>31</v>
      </c>
      <c r="M22" s="24">
        <v>31</v>
      </c>
      <c r="N22" s="24">
        <v>31</v>
      </c>
      <c r="O22" s="24">
        <v>31</v>
      </c>
      <c r="P22" s="24">
        <v>0</v>
      </c>
      <c r="Q22" s="24">
        <v>0</v>
      </c>
      <c r="R22" s="24">
        <v>29</v>
      </c>
      <c r="S22" s="24">
        <v>29</v>
      </c>
      <c r="T22" s="24">
        <v>4</v>
      </c>
      <c r="U22" s="24">
        <v>27</v>
      </c>
      <c r="V22" s="24">
        <v>0</v>
      </c>
      <c r="W22" s="24">
        <v>21</v>
      </c>
      <c r="X22" s="24">
        <v>21</v>
      </c>
      <c r="Y22" s="24">
        <v>6</v>
      </c>
      <c r="Z22" s="24">
        <v>31</v>
      </c>
      <c r="AA22" s="24">
        <v>25</v>
      </c>
      <c r="AB22" s="24">
        <v>0</v>
      </c>
      <c r="AC22" s="24">
        <v>2</v>
      </c>
      <c r="AD22" s="24">
        <v>29</v>
      </c>
      <c r="AE22" s="24">
        <v>31</v>
      </c>
      <c r="AF22" s="24">
        <v>0</v>
      </c>
      <c r="AG22" s="24">
        <v>31</v>
      </c>
      <c r="AH22" s="24">
        <v>31</v>
      </c>
      <c r="AI22" s="24">
        <v>31</v>
      </c>
      <c r="AJ22" s="24">
        <v>2551</v>
      </c>
      <c r="AK22" s="24">
        <v>2405</v>
      </c>
      <c r="AL22" s="24">
        <v>120</v>
      </c>
      <c r="AM22" s="24">
        <v>22</v>
      </c>
      <c r="AN22" s="24">
        <v>0</v>
      </c>
      <c r="AO22" s="24">
        <v>28</v>
      </c>
      <c r="AP22" s="24">
        <v>11</v>
      </c>
      <c r="AQ22" s="24">
        <v>28</v>
      </c>
      <c r="AR22" s="24">
        <v>7</v>
      </c>
      <c r="AS22" s="24">
        <v>21</v>
      </c>
      <c r="AT22" s="24">
        <v>6</v>
      </c>
      <c r="AU22" s="24">
        <v>11</v>
      </c>
      <c r="AV22" s="24">
        <v>4</v>
      </c>
      <c r="AW22" s="24">
        <v>6</v>
      </c>
      <c r="AX22" s="24">
        <v>1</v>
      </c>
      <c r="AY22" s="24">
        <v>1</v>
      </c>
      <c r="AZ22" s="24">
        <v>0</v>
      </c>
      <c r="BA22" s="24">
        <v>2</v>
      </c>
      <c r="BB22" s="24">
        <v>25</v>
      </c>
      <c r="BC22" s="25"/>
      <c r="BD22" s="24"/>
      <c r="BE22" s="24"/>
      <c r="BF22" s="24"/>
      <c r="BG22" s="26">
        <f t="shared" si="6"/>
        <v>87.5</v>
      </c>
      <c r="BH22" s="26">
        <f t="shared" si="7"/>
        <v>12.5</v>
      </c>
      <c r="BI22" s="26">
        <f t="shared" si="8"/>
        <v>20</v>
      </c>
      <c r="BJ22" s="26">
        <f t="shared" si="9"/>
        <v>0</v>
      </c>
      <c r="BK22" s="26">
        <f t="shared" si="10"/>
        <v>0</v>
      </c>
      <c r="BL22" s="26">
        <f t="shared" si="11"/>
        <v>80</v>
      </c>
      <c r="BM22" s="26">
        <f t="shared" si="12"/>
        <v>100</v>
      </c>
      <c r="BN22" s="26">
        <f t="shared" si="13"/>
        <v>100</v>
      </c>
      <c r="BO22" s="26">
        <f t="shared" si="14"/>
        <v>100</v>
      </c>
      <c r="BP22" s="26">
        <f t="shared" si="15"/>
        <v>100</v>
      </c>
      <c r="BQ22" s="26">
        <f t="shared" si="16"/>
        <v>0</v>
      </c>
      <c r="BR22" s="26">
        <f t="shared" si="17"/>
        <v>93.548387096774192</v>
      </c>
      <c r="BS22" s="26">
        <f t="shared" si="18"/>
        <v>100</v>
      </c>
      <c r="BT22" s="26">
        <f t="shared" si="19"/>
        <v>12.903225806451612</v>
      </c>
      <c r="BU22" s="26">
        <f t="shared" si="20"/>
        <v>87.096774193548384</v>
      </c>
      <c r="BV22" s="26">
        <f t="shared" si="21"/>
        <v>0</v>
      </c>
      <c r="BW22" s="26">
        <f t="shared" si="0"/>
        <v>67.741935483870961</v>
      </c>
      <c r="BX22" s="26">
        <f t="shared" si="0"/>
        <v>67.741935483870961</v>
      </c>
      <c r="BY22" s="26">
        <f t="shared" si="22"/>
        <v>19.35483870967742</v>
      </c>
      <c r="BZ22" s="26">
        <f t="shared" si="23"/>
        <v>100</v>
      </c>
      <c r="CA22" s="26">
        <f t="shared" si="24"/>
        <v>80.645161290322577</v>
      </c>
      <c r="CB22" s="26">
        <f t="shared" si="25"/>
        <v>0</v>
      </c>
      <c r="CC22" s="26">
        <f t="shared" si="26"/>
        <v>6.4516129032258061</v>
      </c>
      <c r="CD22" s="26">
        <f t="shared" si="27"/>
        <v>93.548387096774192</v>
      </c>
      <c r="CE22" s="26">
        <f t="shared" si="28"/>
        <v>100</v>
      </c>
      <c r="CF22" s="26">
        <f t="shared" si="29"/>
        <v>0</v>
      </c>
      <c r="CG22" s="26">
        <f t="shared" si="30"/>
        <v>100</v>
      </c>
      <c r="CH22" s="26">
        <f t="shared" si="31"/>
        <v>100</v>
      </c>
      <c r="CI22" s="26">
        <f t="shared" si="32"/>
        <v>100</v>
      </c>
      <c r="CJ22" s="26">
        <f t="shared" si="33"/>
        <v>94.276754214033716</v>
      </c>
      <c r="CK22" s="26">
        <f t="shared" si="34"/>
        <v>4.7040376323010582</v>
      </c>
      <c r="CL22" s="26">
        <f t="shared" si="35"/>
        <v>70.967741935483872</v>
      </c>
      <c r="CM22" s="26"/>
      <c r="CN22" s="26">
        <f t="shared" si="36"/>
        <v>90.322580645161295</v>
      </c>
      <c r="CO22" s="26">
        <f t="shared" si="37"/>
        <v>35.483870967741936</v>
      </c>
      <c r="CP22" s="26">
        <f t="shared" si="38"/>
        <v>90.322580645161295</v>
      </c>
      <c r="CQ22" s="26">
        <f t="shared" si="39"/>
        <v>25</v>
      </c>
      <c r="CR22" s="26">
        <f t="shared" si="40"/>
        <v>19.35483870967742</v>
      </c>
      <c r="CS22" s="26">
        <f t="shared" si="41"/>
        <v>80.645161290322577</v>
      </c>
    </row>
    <row r="23" spans="1:97">
      <c r="A23" s="8" t="s">
        <v>165</v>
      </c>
      <c r="B23" s="8" t="s">
        <v>166</v>
      </c>
      <c r="C23" s="21" t="s">
        <v>145</v>
      </c>
      <c r="D23" s="9">
        <v>41</v>
      </c>
      <c r="E23" s="9">
        <v>35</v>
      </c>
      <c r="F23" s="9">
        <v>6</v>
      </c>
      <c r="G23" s="9">
        <v>0</v>
      </c>
      <c r="H23" s="9">
        <v>0</v>
      </c>
      <c r="I23" s="9">
        <v>0</v>
      </c>
      <c r="J23" s="9">
        <v>6</v>
      </c>
      <c r="K23" s="9">
        <v>35</v>
      </c>
      <c r="L23" s="9">
        <v>35</v>
      </c>
      <c r="M23" s="9">
        <v>35</v>
      </c>
      <c r="N23" s="9">
        <v>35</v>
      </c>
      <c r="O23" s="9">
        <v>35</v>
      </c>
      <c r="P23" s="9">
        <v>0</v>
      </c>
      <c r="Q23" s="9">
        <v>0</v>
      </c>
      <c r="R23" s="9">
        <v>34</v>
      </c>
      <c r="S23" s="9">
        <v>18</v>
      </c>
      <c r="T23" s="9">
        <v>13</v>
      </c>
      <c r="U23" s="9">
        <v>22</v>
      </c>
      <c r="V23" s="9">
        <v>0</v>
      </c>
      <c r="W23" s="9">
        <v>9</v>
      </c>
      <c r="X23" s="9">
        <v>5</v>
      </c>
      <c r="Y23" s="9">
        <v>16</v>
      </c>
      <c r="Z23" s="9">
        <v>35</v>
      </c>
      <c r="AA23" s="9">
        <v>19</v>
      </c>
      <c r="AB23" s="9">
        <v>0</v>
      </c>
      <c r="AC23" s="9">
        <v>13</v>
      </c>
      <c r="AD23" s="9">
        <v>21</v>
      </c>
      <c r="AE23" s="9">
        <v>34</v>
      </c>
      <c r="AF23" s="9">
        <v>1</v>
      </c>
      <c r="AG23" s="9">
        <v>35</v>
      </c>
      <c r="AH23" s="9">
        <v>35</v>
      </c>
      <c r="AI23" s="9">
        <v>35</v>
      </c>
      <c r="AJ23" s="9">
        <v>2628</v>
      </c>
      <c r="AK23" s="9">
        <v>882</v>
      </c>
      <c r="AL23" s="9">
        <v>107</v>
      </c>
      <c r="AM23" s="9">
        <v>11</v>
      </c>
      <c r="AN23" s="9">
        <v>1</v>
      </c>
      <c r="AO23" s="9">
        <v>30</v>
      </c>
      <c r="AP23" s="9">
        <v>11</v>
      </c>
      <c r="AQ23" s="9">
        <v>30</v>
      </c>
      <c r="AR23" s="9">
        <v>25</v>
      </c>
      <c r="AS23" s="9">
        <v>6</v>
      </c>
      <c r="AT23" s="9">
        <v>1</v>
      </c>
      <c r="AU23" s="9">
        <v>5</v>
      </c>
      <c r="AV23" s="9">
        <v>10</v>
      </c>
      <c r="AW23" s="9">
        <v>3</v>
      </c>
      <c r="AX23" s="9">
        <v>4</v>
      </c>
      <c r="AY23" s="9">
        <v>7</v>
      </c>
      <c r="AZ23" s="9">
        <v>1</v>
      </c>
      <c r="BA23" s="9">
        <v>3</v>
      </c>
      <c r="BB23" s="9">
        <v>34</v>
      </c>
      <c r="BC23" s="18"/>
      <c r="BD23" s="9"/>
      <c r="BE23" s="9"/>
      <c r="BF23" s="9"/>
      <c r="BG23" s="10">
        <f t="shared" si="6"/>
        <v>85.365853658536579</v>
      </c>
      <c r="BH23" s="10">
        <f t="shared" si="7"/>
        <v>14.634146341463415</v>
      </c>
      <c r="BI23" s="10">
        <f t="shared" si="8"/>
        <v>0</v>
      </c>
      <c r="BJ23" s="10">
        <f t="shared" si="9"/>
        <v>0</v>
      </c>
      <c r="BK23" s="10">
        <f t="shared" si="10"/>
        <v>0</v>
      </c>
      <c r="BL23" s="10">
        <f t="shared" si="11"/>
        <v>100</v>
      </c>
      <c r="BM23" s="10">
        <f t="shared" si="12"/>
        <v>100</v>
      </c>
      <c r="BN23" s="10">
        <f t="shared" si="13"/>
        <v>100</v>
      </c>
      <c r="BO23" s="10">
        <f t="shared" si="14"/>
        <v>100</v>
      </c>
      <c r="BP23" s="10">
        <f t="shared" si="15"/>
        <v>100</v>
      </c>
      <c r="BQ23" s="10">
        <f t="shared" si="16"/>
        <v>0</v>
      </c>
      <c r="BR23" s="10">
        <f t="shared" si="17"/>
        <v>97.142857142857139</v>
      </c>
      <c r="BS23" s="10">
        <f t="shared" si="18"/>
        <v>52.941176470588232</v>
      </c>
      <c r="BT23" s="10">
        <f t="shared" si="19"/>
        <v>37.142857142857146</v>
      </c>
      <c r="BU23" s="10">
        <f t="shared" si="20"/>
        <v>62.857142857142854</v>
      </c>
      <c r="BV23" s="10">
        <f t="shared" si="21"/>
        <v>0</v>
      </c>
      <c r="BW23" s="10">
        <f t="shared" si="21"/>
        <v>25.714285714285715</v>
      </c>
      <c r="BX23" s="10">
        <f t="shared" si="21"/>
        <v>14.285714285714286</v>
      </c>
      <c r="BY23" s="10">
        <f t="shared" si="22"/>
        <v>45.714285714285715</v>
      </c>
      <c r="BZ23" s="10">
        <f t="shared" si="23"/>
        <v>100</v>
      </c>
      <c r="CA23" s="10">
        <f t="shared" si="24"/>
        <v>54.285714285714285</v>
      </c>
      <c r="CB23" s="10">
        <f t="shared" si="25"/>
        <v>0</v>
      </c>
      <c r="CC23" s="10">
        <f t="shared" si="26"/>
        <v>37.142857142857146</v>
      </c>
      <c r="CD23" s="10">
        <f t="shared" si="27"/>
        <v>60</v>
      </c>
      <c r="CE23" s="10">
        <f t="shared" si="28"/>
        <v>97.142857142857139</v>
      </c>
      <c r="CF23" s="10">
        <f t="shared" si="29"/>
        <v>2.8571428571428572</v>
      </c>
      <c r="CG23" s="10">
        <f t="shared" si="30"/>
        <v>100</v>
      </c>
      <c r="CH23" s="10">
        <f t="shared" si="31"/>
        <v>100</v>
      </c>
      <c r="CI23" s="10">
        <f t="shared" si="32"/>
        <v>100</v>
      </c>
      <c r="CJ23" s="10">
        <f t="shared" si="33"/>
        <v>33.561643835616437</v>
      </c>
      <c r="CK23" s="10">
        <f t="shared" si="34"/>
        <v>4.0715372907153728</v>
      </c>
      <c r="CL23" s="10">
        <f t="shared" si="35"/>
        <v>31.428571428571427</v>
      </c>
      <c r="CM23" s="10"/>
      <c r="CN23" s="10">
        <f t="shared" si="36"/>
        <v>85.714285714285708</v>
      </c>
      <c r="CO23" s="10">
        <f t="shared" si="37"/>
        <v>31.428571428571427</v>
      </c>
      <c r="CP23" s="10">
        <f t="shared" si="38"/>
        <v>85.714285714285708</v>
      </c>
      <c r="CQ23" s="10">
        <f t="shared" si="39"/>
        <v>80.645161290322577</v>
      </c>
      <c r="CR23" s="10">
        <f t="shared" si="40"/>
        <v>2.8571428571428572</v>
      </c>
      <c r="CS23" s="10">
        <f t="shared" si="41"/>
        <v>97.142857142857139</v>
      </c>
    </row>
    <row r="24" spans="1:97">
      <c r="A24" s="8" t="s">
        <v>165</v>
      </c>
      <c r="B24" s="8" t="s">
        <v>167</v>
      </c>
      <c r="C24" s="21" t="s">
        <v>145</v>
      </c>
      <c r="D24" s="9">
        <v>41</v>
      </c>
      <c r="E24" s="9">
        <v>40</v>
      </c>
      <c r="F24" s="9">
        <v>1</v>
      </c>
      <c r="G24" s="9">
        <v>0</v>
      </c>
      <c r="H24" s="9">
        <v>0</v>
      </c>
      <c r="I24" s="9">
        <v>0</v>
      </c>
      <c r="J24" s="9">
        <v>1</v>
      </c>
      <c r="K24" s="9">
        <v>40</v>
      </c>
      <c r="L24" s="9">
        <v>40</v>
      </c>
      <c r="M24" s="9">
        <v>40</v>
      </c>
      <c r="N24" s="9">
        <v>40</v>
      </c>
      <c r="O24" s="9">
        <v>40</v>
      </c>
      <c r="P24" s="9">
        <v>0</v>
      </c>
      <c r="Q24" s="9">
        <v>0</v>
      </c>
      <c r="R24" s="9">
        <v>40</v>
      </c>
      <c r="S24" s="9">
        <v>38</v>
      </c>
      <c r="T24" s="9">
        <v>4</v>
      </c>
      <c r="U24" s="9">
        <v>36</v>
      </c>
      <c r="V24" s="9">
        <v>0</v>
      </c>
      <c r="W24" s="9">
        <v>26</v>
      </c>
      <c r="X24" s="9">
        <v>23</v>
      </c>
      <c r="Y24" s="9">
        <v>6</v>
      </c>
      <c r="Z24" s="9">
        <v>40</v>
      </c>
      <c r="AA24" s="9">
        <v>34</v>
      </c>
      <c r="AB24" s="9">
        <v>0</v>
      </c>
      <c r="AC24" s="9">
        <v>6</v>
      </c>
      <c r="AD24" s="9">
        <v>34</v>
      </c>
      <c r="AE24" s="9">
        <v>40</v>
      </c>
      <c r="AF24" s="9">
        <v>0</v>
      </c>
      <c r="AG24" s="9">
        <v>40</v>
      </c>
      <c r="AH24" s="9">
        <v>40</v>
      </c>
      <c r="AI24" s="9">
        <v>40</v>
      </c>
      <c r="AJ24" s="9">
        <v>2438</v>
      </c>
      <c r="AK24" s="9">
        <v>1067</v>
      </c>
      <c r="AL24" s="9">
        <v>299</v>
      </c>
      <c r="AM24" s="9">
        <v>38</v>
      </c>
      <c r="AN24" s="9">
        <v>1</v>
      </c>
      <c r="AO24" s="9">
        <v>33</v>
      </c>
      <c r="AP24" s="9">
        <v>35</v>
      </c>
      <c r="AQ24" s="9">
        <v>33</v>
      </c>
      <c r="AR24" s="9">
        <v>31</v>
      </c>
      <c r="AS24" s="9">
        <v>4</v>
      </c>
      <c r="AT24" s="9">
        <v>3</v>
      </c>
      <c r="AU24" s="9">
        <v>13</v>
      </c>
      <c r="AV24" s="9">
        <v>2</v>
      </c>
      <c r="AW24" s="9">
        <v>8</v>
      </c>
      <c r="AX24" s="9">
        <v>7</v>
      </c>
      <c r="AY24" s="9">
        <v>3</v>
      </c>
      <c r="AZ24" s="9">
        <v>3</v>
      </c>
      <c r="BA24" s="9">
        <v>1</v>
      </c>
      <c r="BB24" s="9">
        <v>37</v>
      </c>
      <c r="BC24" s="18"/>
      <c r="BD24" s="9"/>
      <c r="BE24" s="9"/>
      <c r="BF24" s="9"/>
      <c r="BG24" s="10">
        <f t="shared" si="6"/>
        <v>97.560975609756099</v>
      </c>
      <c r="BH24" s="10">
        <f t="shared" si="7"/>
        <v>2.4390243902439024</v>
      </c>
      <c r="BI24" s="10">
        <f t="shared" si="8"/>
        <v>0</v>
      </c>
      <c r="BJ24" s="10">
        <f t="shared" si="9"/>
        <v>0</v>
      </c>
      <c r="BK24" s="10">
        <f t="shared" si="10"/>
        <v>0</v>
      </c>
      <c r="BL24" s="10">
        <f t="shared" si="11"/>
        <v>100</v>
      </c>
      <c r="BM24" s="10">
        <f t="shared" si="12"/>
        <v>100</v>
      </c>
      <c r="BN24" s="10">
        <f t="shared" si="13"/>
        <v>100</v>
      </c>
      <c r="BO24" s="10">
        <f t="shared" si="14"/>
        <v>100</v>
      </c>
      <c r="BP24" s="10">
        <f t="shared" si="15"/>
        <v>100</v>
      </c>
      <c r="BQ24" s="10">
        <f t="shared" si="16"/>
        <v>0</v>
      </c>
      <c r="BR24" s="10">
        <f t="shared" si="17"/>
        <v>100</v>
      </c>
      <c r="BS24" s="10">
        <f t="shared" si="18"/>
        <v>95</v>
      </c>
      <c r="BT24" s="10">
        <f t="shared" si="19"/>
        <v>10</v>
      </c>
      <c r="BU24" s="10">
        <f t="shared" si="20"/>
        <v>90</v>
      </c>
      <c r="BV24" s="10">
        <f t="shared" si="21"/>
        <v>0</v>
      </c>
      <c r="BW24" s="10">
        <f t="shared" si="21"/>
        <v>65</v>
      </c>
      <c r="BX24" s="10">
        <f t="shared" si="21"/>
        <v>57.5</v>
      </c>
      <c r="BY24" s="10">
        <f t="shared" si="22"/>
        <v>15</v>
      </c>
      <c r="BZ24" s="10">
        <f t="shared" si="23"/>
        <v>100</v>
      </c>
      <c r="CA24" s="10">
        <f t="shared" si="24"/>
        <v>85</v>
      </c>
      <c r="CB24" s="10">
        <f t="shared" si="25"/>
        <v>0</v>
      </c>
      <c r="CC24" s="10">
        <f t="shared" si="26"/>
        <v>15</v>
      </c>
      <c r="CD24" s="10">
        <f t="shared" si="27"/>
        <v>85</v>
      </c>
      <c r="CE24" s="10">
        <f t="shared" si="28"/>
        <v>100</v>
      </c>
      <c r="CF24" s="10">
        <f t="shared" si="29"/>
        <v>0</v>
      </c>
      <c r="CG24" s="10">
        <f t="shared" si="30"/>
        <v>100</v>
      </c>
      <c r="CH24" s="10">
        <f t="shared" si="31"/>
        <v>100</v>
      </c>
      <c r="CI24" s="10">
        <f t="shared" si="32"/>
        <v>100</v>
      </c>
      <c r="CJ24" s="10">
        <f t="shared" si="33"/>
        <v>43.765381460213291</v>
      </c>
      <c r="CK24" s="10">
        <f t="shared" si="34"/>
        <v>12.264150943396226</v>
      </c>
      <c r="CL24" s="10">
        <f t="shared" si="35"/>
        <v>95</v>
      </c>
      <c r="CM24" s="10"/>
      <c r="CN24" s="10">
        <f t="shared" si="36"/>
        <v>82.5</v>
      </c>
      <c r="CO24" s="10">
        <f t="shared" si="37"/>
        <v>87.5</v>
      </c>
      <c r="CP24" s="10">
        <f t="shared" si="38"/>
        <v>82.5</v>
      </c>
      <c r="CQ24" s="10">
        <f t="shared" si="39"/>
        <v>88.571428571428569</v>
      </c>
      <c r="CR24" s="10">
        <f t="shared" si="40"/>
        <v>7.5</v>
      </c>
      <c r="CS24" s="10">
        <f t="shared" si="41"/>
        <v>92.5</v>
      </c>
    </row>
    <row r="25" spans="1:97">
      <c r="A25" s="22" t="s">
        <v>168</v>
      </c>
      <c r="B25" s="22"/>
      <c r="C25" s="23" t="s">
        <v>145</v>
      </c>
      <c r="D25" s="24">
        <v>82</v>
      </c>
      <c r="E25" s="24">
        <v>75</v>
      </c>
      <c r="F25" s="24">
        <v>7</v>
      </c>
      <c r="G25" s="24">
        <v>0</v>
      </c>
      <c r="H25" s="24">
        <v>0</v>
      </c>
      <c r="I25" s="24">
        <v>0</v>
      </c>
      <c r="J25" s="24">
        <v>7</v>
      </c>
      <c r="K25" s="24">
        <v>75</v>
      </c>
      <c r="L25" s="24">
        <v>75</v>
      </c>
      <c r="M25" s="24">
        <v>75</v>
      </c>
      <c r="N25" s="24">
        <v>75</v>
      </c>
      <c r="O25" s="24">
        <v>75</v>
      </c>
      <c r="P25" s="24">
        <v>0</v>
      </c>
      <c r="Q25" s="24">
        <v>0</v>
      </c>
      <c r="R25" s="24">
        <v>74</v>
      </c>
      <c r="S25" s="24">
        <v>56</v>
      </c>
      <c r="T25" s="24">
        <v>17</v>
      </c>
      <c r="U25" s="24">
        <v>58</v>
      </c>
      <c r="V25" s="24">
        <v>0</v>
      </c>
      <c r="W25" s="24">
        <v>35</v>
      </c>
      <c r="X25" s="24">
        <v>28</v>
      </c>
      <c r="Y25" s="24">
        <v>22</v>
      </c>
      <c r="Z25" s="24">
        <v>75</v>
      </c>
      <c r="AA25" s="24">
        <v>53</v>
      </c>
      <c r="AB25" s="24">
        <v>0</v>
      </c>
      <c r="AC25" s="24">
        <v>19</v>
      </c>
      <c r="AD25" s="24">
        <v>55</v>
      </c>
      <c r="AE25" s="24">
        <v>74</v>
      </c>
      <c r="AF25" s="24">
        <v>1</v>
      </c>
      <c r="AG25" s="24">
        <v>75</v>
      </c>
      <c r="AH25" s="24">
        <v>75</v>
      </c>
      <c r="AI25" s="24">
        <v>75</v>
      </c>
      <c r="AJ25" s="24">
        <v>5066</v>
      </c>
      <c r="AK25" s="24">
        <v>1949</v>
      </c>
      <c r="AL25" s="24">
        <v>406</v>
      </c>
      <c r="AM25" s="24">
        <v>49</v>
      </c>
      <c r="AN25" s="24">
        <v>2</v>
      </c>
      <c r="AO25" s="24">
        <v>63</v>
      </c>
      <c r="AP25" s="24">
        <v>46</v>
      </c>
      <c r="AQ25" s="24">
        <v>63</v>
      </c>
      <c r="AR25" s="24">
        <v>56</v>
      </c>
      <c r="AS25" s="24">
        <v>10</v>
      </c>
      <c r="AT25" s="24">
        <v>4</v>
      </c>
      <c r="AU25" s="24">
        <v>18</v>
      </c>
      <c r="AV25" s="24">
        <v>12</v>
      </c>
      <c r="AW25" s="24">
        <v>11</v>
      </c>
      <c r="AX25" s="24">
        <v>11</v>
      </c>
      <c r="AY25" s="24">
        <v>10</v>
      </c>
      <c r="AZ25" s="24">
        <v>4</v>
      </c>
      <c r="BA25" s="24">
        <v>4</v>
      </c>
      <c r="BB25" s="24">
        <v>71</v>
      </c>
      <c r="BC25" s="25"/>
      <c r="BD25" s="24"/>
      <c r="BE25" s="24"/>
      <c r="BF25" s="24"/>
      <c r="BG25" s="26">
        <f t="shared" si="6"/>
        <v>91.463414634146346</v>
      </c>
      <c r="BH25" s="26">
        <f t="shared" si="7"/>
        <v>8.536585365853659</v>
      </c>
      <c r="BI25" s="26">
        <f t="shared" si="8"/>
        <v>0</v>
      </c>
      <c r="BJ25" s="26">
        <f t="shared" si="9"/>
        <v>0</v>
      </c>
      <c r="BK25" s="26">
        <f t="shared" si="10"/>
        <v>0</v>
      </c>
      <c r="BL25" s="26">
        <f t="shared" si="11"/>
        <v>100</v>
      </c>
      <c r="BM25" s="26">
        <f t="shared" si="12"/>
        <v>100</v>
      </c>
      <c r="BN25" s="26">
        <f t="shared" si="13"/>
        <v>100</v>
      </c>
      <c r="BO25" s="26">
        <f t="shared" si="14"/>
        <v>100</v>
      </c>
      <c r="BP25" s="26">
        <f t="shared" si="15"/>
        <v>100</v>
      </c>
      <c r="BQ25" s="26">
        <f t="shared" si="16"/>
        <v>0</v>
      </c>
      <c r="BR25" s="26">
        <f t="shared" si="17"/>
        <v>98.666666666666671</v>
      </c>
      <c r="BS25" s="26">
        <f t="shared" si="18"/>
        <v>75.675675675675677</v>
      </c>
      <c r="BT25" s="26">
        <f t="shared" si="19"/>
        <v>22.666666666666668</v>
      </c>
      <c r="BU25" s="26">
        <f t="shared" si="20"/>
        <v>77.333333333333329</v>
      </c>
      <c r="BV25" s="26">
        <f t="shared" si="21"/>
        <v>0</v>
      </c>
      <c r="BW25" s="26">
        <f t="shared" si="21"/>
        <v>46.666666666666664</v>
      </c>
      <c r="BX25" s="26">
        <f t="shared" si="21"/>
        <v>37.333333333333336</v>
      </c>
      <c r="BY25" s="26">
        <f t="shared" si="22"/>
        <v>29.333333333333332</v>
      </c>
      <c r="BZ25" s="26">
        <f t="shared" si="23"/>
        <v>100</v>
      </c>
      <c r="CA25" s="26">
        <f t="shared" si="24"/>
        <v>70.666666666666671</v>
      </c>
      <c r="CB25" s="26">
        <f t="shared" si="25"/>
        <v>0</v>
      </c>
      <c r="CC25" s="26">
        <f t="shared" si="26"/>
        <v>25.333333333333332</v>
      </c>
      <c r="CD25" s="26">
        <f t="shared" si="27"/>
        <v>73.333333333333329</v>
      </c>
      <c r="CE25" s="26">
        <f t="shared" si="28"/>
        <v>98.666666666666671</v>
      </c>
      <c r="CF25" s="26">
        <f t="shared" si="29"/>
        <v>1.3333333333333333</v>
      </c>
      <c r="CG25" s="26">
        <f t="shared" si="30"/>
        <v>100</v>
      </c>
      <c r="CH25" s="26">
        <f t="shared" si="31"/>
        <v>100</v>
      </c>
      <c r="CI25" s="26">
        <f t="shared" si="32"/>
        <v>100</v>
      </c>
      <c r="CJ25" s="26">
        <f t="shared" si="33"/>
        <v>38.47216739044611</v>
      </c>
      <c r="CK25" s="26">
        <f t="shared" si="34"/>
        <v>8.0142123963679435</v>
      </c>
      <c r="CL25" s="26">
        <f t="shared" si="35"/>
        <v>65.333333333333329</v>
      </c>
      <c r="CM25" s="26"/>
      <c r="CN25" s="26">
        <f t="shared" si="36"/>
        <v>84</v>
      </c>
      <c r="CO25" s="26">
        <f t="shared" si="37"/>
        <v>61.333333333333336</v>
      </c>
      <c r="CP25" s="26">
        <f t="shared" si="38"/>
        <v>84</v>
      </c>
      <c r="CQ25" s="26">
        <f t="shared" si="39"/>
        <v>84.848484848484844</v>
      </c>
      <c r="CR25" s="26">
        <f t="shared" si="40"/>
        <v>5.333333333333333</v>
      </c>
      <c r="CS25" s="26">
        <f t="shared" si="41"/>
        <v>94.666666666666671</v>
      </c>
    </row>
    <row r="26" spans="1:97">
      <c r="A26" s="8" t="s">
        <v>169</v>
      </c>
      <c r="B26" s="8" t="s">
        <v>170</v>
      </c>
      <c r="C26" s="21" t="s">
        <v>145</v>
      </c>
      <c r="D26" s="9">
        <v>38</v>
      </c>
      <c r="E26" s="9">
        <v>38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38</v>
      </c>
      <c r="L26" s="9">
        <v>34</v>
      </c>
      <c r="M26" s="9">
        <v>38</v>
      </c>
      <c r="N26" s="9">
        <v>37</v>
      </c>
      <c r="O26" s="9">
        <v>37</v>
      </c>
      <c r="P26" s="9">
        <v>0</v>
      </c>
      <c r="Q26" s="9">
        <v>0</v>
      </c>
      <c r="R26" s="9">
        <v>38</v>
      </c>
      <c r="S26" s="9">
        <v>37</v>
      </c>
      <c r="T26" s="9">
        <v>6</v>
      </c>
      <c r="U26" s="9">
        <v>32</v>
      </c>
      <c r="V26" s="9">
        <v>0</v>
      </c>
      <c r="W26" s="9">
        <v>9</v>
      </c>
      <c r="X26" s="9">
        <v>8</v>
      </c>
      <c r="Y26" s="9">
        <v>8</v>
      </c>
      <c r="Z26" s="9">
        <v>38</v>
      </c>
      <c r="AA26" s="9">
        <v>30</v>
      </c>
      <c r="AB26" s="9">
        <v>0</v>
      </c>
      <c r="AC26" s="9">
        <v>4</v>
      </c>
      <c r="AD26" s="9">
        <v>34</v>
      </c>
      <c r="AE26" s="9">
        <v>38</v>
      </c>
      <c r="AF26" s="9">
        <v>0</v>
      </c>
      <c r="AG26" s="9">
        <v>38</v>
      </c>
      <c r="AH26" s="9">
        <v>38</v>
      </c>
      <c r="AI26" s="9">
        <v>38</v>
      </c>
      <c r="AJ26" s="9">
        <v>1488</v>
      </c>
      <c r="AK26" s="9">
        <v>894</v>
      </c>
      <c r="AL26" s="9">
        <v>407</v>
      </c>
      <c r="AM26" s="9">
        <v>38</v>
      </c>
      <c r="AN26" s="9">
        <v>3</v>
      </c>
      <c r="AO26" s="9">
        <v>34</v>
      </c>
      <c r="AP26" s="9">
        <v>20</v>
      </c>
      <c r="AQ26" s="9">
        <v>34</v>
      </c>
      <c r="AR26" s="9">
        <v>26</v>
      </c>
      <c r="AS26" s="9">
        <v>11</v>
      </c>
      <c r="AT26" s="9">
        <v>7</v>
      </c>
      <c r="AU26" s="9">
        <v>8</v>
      </c>
      <c r="AV26" s="9">
        <v>5</v>
      </c>
      <c r="AW26" s="9">
        <v>7</v>
      </c>
      <c r="AX26" s="9">
        <v>5</v>
      </c>
      <c r="AY26" s="9">
        <v>2</v>
      </c>
      <c r="AZ26" s="9">
        <v>2</v>
      </c>
      <c r="BA26" s="9">
        <v>2</v>
      </c>
      <c r="BB26" s="9">
        <v>31</v>
      </c>
      <c r="BC26" s="18"/>
      <c r="BD26" s="9"/>
      <c r="BE26" s="9"/>
      <c r="BF26" s="9"/>
      <c r="BG26" s="10">
        <f t="shared" si="6"/>
        <v>100</v>
      </c>
      <c r="BH26" s="10">
        <f t="shared" si="7"/>
        <v>0</v>
      </c>
      <c r="BI26" s="10" t="e">
        <f t="shared" si="8"/>
        <v>#DIV/0!</v>
      </c>
      <c r="BJ26" s="10" t="e">
        <f t="shared" si="9"/>
        <v>#DIV/0!</v>
      </c>
      <c r="BK26" s="10" t="e">
        <f t="shared" si="10"/>
        <v>#DIV/0!</v>
      </c>
      <c r="BL26" s="10" t="e">
        <f t="shared" si="11"/>
        <v>#DIV/0!</v>
      </c>
      <c r="BM26" s="10">
        <f t="shared" si="12"/>
        <v>89.473684210526315</v>
      </c>
      <c r="BN26" s="10">
        <f t="shared" si="13"/>
        <v>100</v>
      </c>
      <c r="BO26" s="10">
        <f t="shared" si="14"/>
        <v>97.368421052631575</v>
      </c>
      <c r="BP26" s="10">
        <f t="shared" si="15"/>
        <v>97.368421052631575</v>
      </c>
      <c r="BQ26" s="10">
        <f t="shared" si="16"/>
        <v>0</v>
      </c>
      <c r="BR26" s="10">
        <f t="shared" si="17"/>
        <v>100</v>
      </c>
      <c r="BS26" s="10">
        <f t="shared" si="18"/>
        <v>97.368421052631575</v>
      </c>
      <c r="BT26" s="10">
        <f t="shared" si="19"/>
        <v>15.789473684210526</v>
      </c>
      <c r="BU26" s="10">
        <f t="shared" si="20"/>
        <v>84.21052631578948</v>
      </c>
      <c r="BV26" s="10">
        <f t="shared" si="21"/>
        <v>0</v>
      </c>
      <c r="BW26" s="10">
        <f t="shared" si="21"/>
        <v>23.684210526315791</v>
      </c>
      <c r="BX26" s="10">
        <f t="shared" si="21"/>
        <v>21.05263157894737</v>
      </c>
      <c r="BY26" s="10">
        <f t="shared" si="22"/>
        <v>21.05263157894737</v>
      </c>
      <c r="BZ26" s="10">
        <f t="shared" si="23"/>
        <v>100</v>
      </c>
      <c r="CA26" s="10">
        <f t="shared" si="24"/>
        <v>78.94736842105263</v>
      </c>
      <c r="CB26" s="10">
        <f t="shared" si="25"/>
        <v>0</v>
      </c>
      <c r="CC26" s="10">
        <f t="shared" si="26"/>
        <v>10.526315789473685</v>
      </c>
      <c r="CD26" s="10">
        <f t="shared" si="27"/>
        <v>89.473684210526315</v>
      </c>
      <c r="CE26" s="10">
        <f t="shared" si="28"/>
        <v>100</v>
      </c>
      <c r="CF26" s="10">
        <f t="shared" si="29"/>
        <v>0</v>
      </c>
      <c r="CG26" s="10">
        <f t="shared" si="30"/>
        <v>100</v>
      </c>
      <c r="CH26" s="10">
        <f t="shared" si="31"/>
        <v>100</v>
      </c>
      <c r="CI26" s="10">
        <f t="shared" si="32"/>
        <v>100</v>
      </c>
      <c r="CJ26" s="10">
        <f t="shared" si="33"/>
        <v>60.08064516129032</v>
      </c>
      <c r="CK26" s="10">
        <f t="shared" si="34"/>
        <v>27.352150537634408</v>
      </c>
      <c r="CL26" s="10">
        <f t="shared" si="35"/>
        <v>100</v>
      </c>
      <c r="CM26" s="10"/>
      <c r="CN26" s="10">
        <f t="shared" si="36"/>
        <v>89.473684210526315</v>
      </c>
      <c r="CO26" s="10">
        <f t="shared" si="37"/>
        <v>52.631578947368418</v>
      </c>
      <c r="CP26" s="10">
        <f t="shared" si="38"/>
        <v>89.473684210526315</v>
      </c>
      <c r="CQ26" s="10">
        <f t="shared" si="39"/>
        <v>70.270270270270274</v>
      </c>
      <c r="CR26" s="10">
        <f t="shared" si="40"/>
        <v>18.421052631578949</v>
      </c>
      <c r="CS26" s="10">
        <f t="shared" si="41"/>
        <v>81.578947368421055</v>
      </c>
    </row>
    <row r="27" spans="1:97">
      <c r="A27" s="8" t="s">
        <v>169</v>
      </c>
      <c r="B27" s="8" t="s">
        <v>171</v>
      </c>
      <c r="C27" s="21" t="s">
        <v>145</v>
      </c>
      <c r="D27" s="9">
        <v>40</v>
      </c>
      <c r="E27" s="9">
        <v>40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40</v>
      </c>
      <c r="L27" s="9">
        <v>38</v>
      </c>
      <c r="M27" s="9">
        <v>38</v>
      </c>
      <c r="N27" s="9">
        <v>38</v>
      </c>
      <c r="O27" s="9">
        <v>39</v>
      </c>
      <c r="P27" s="9">
        <v>0</v>
      </c>
      <c r="Q27" s="9">
        <v>0</v>
      </c>
      <c r="R27" s="9">
        <v>34</v>
      </c>
      <c r="S27" s="9">
        <v>28</v>
      </c>
      <c r="T27" s="9">
        <v>13</v>
      </c>
      <c r="U27" s="9">
        <v>27</v>
      </c>
      <c r="V27" s="9">
        <v>0</v>
      </c>
      <c r="W27" s="9">
        <v>26</v>
      </c>
      <c r="X27" s="9">
        <v>22</v>
      </c>
      <c r="Y27" s="9">
        <v>17</v>
      </c>
      <c r="Z27" s="9">
        <v>40</v>
      </c>
      <c r="AA27" s="9">
        <v>23</v>
      </c>
      <c r="AB27" s="9">
        <v>0</v>
      </c>
      <c r="AC27" s="9">
        <v>17</v>
      </c>
      <c r="AD27" s="9">
        <v>22</v>
      </c>
      <c r="AE27" s="9">
        <v>39</v>
      </c>
      <c r="AF27" s="9">
        <v>1</v>
      </c>
      <c r="AG27" s="9">
        <v>40</v>
      </c>
      <c r="AH27" s="9">
        <v>40</v>
      </c>
      <c r="AI27" s="9">
        <v>40</v>
      </c>
      <c r="AJ27" s="9">
        <v>1437</v>
      </c>
      <c r="AK27" s="9">
        <v>1072</v>
      </c>
      <c r="AL27" s="9">
        <v>15</v>
      </c>
      <c r="AM27" s="9">
        <v>3</v>
      </c>
      <c r="AN27" s="9">
        <v>2</v>
      </c>
      <c r="AO27" s="9">
        <v>36</v>
      </c>
      <c r="AP27" s="9">
        <v>17</v>
      </c>
      <c r="AQ27" s="9">
        <v>36</v>
      </c>
      <c r="AR27" s="9">
        <v>35</v>
      </c>
      <c r="AS27" s="9">
        <v>4</v>
      </c>
      <c r="AT27" s="9">
        <v>2</v>
      </c>
      <c r="AU27" s="9">
        <v>6</v>
      </c>
      <c r="AV27" s="9">
        <v>5</v>
      </c>
      <c r="AW27" s="9">
        <v>3</v>
      </c>
      <c r="AX27" s="9">
        <v>3</v>
      </c>
      <c r="AY27" s="9">
        <v>6</v>
      </c>
      <c r="AZ27" s="9">
        <v>5</v>
      </c>
      <c r="BA27" s="9">
        <v>9</v>
      </c>
      <c r="BB27" s="9">
        <v>38</v>
      </c>
      <c r="BC27" s="18"/>
      <c r="BD27" s="9"/>
      <c r="BE27" s="9"/>
      <c r="BF27" s="9"/>
      <c r="BG27" s="10">
        <f t="shared" si="6"/>
        <v>100</v>
      </c>
      <c r="BH27" s="10">
        <f t="shared" si="7"/>
        <v>0</v>
      </c>
      <c r="BI27" s="10" t="e">
        <f t="shared" si="8"/>
        <v>#DIV/0!</v>
      </c>
      <c r="BJ27" s="10" t="e">
        <f t="shared" si="9"/>
        <v>#DIV/0!</v>
      </c>
      <c r="BK27" s="10" t="e">
        <f t="shared" si="10"/>
        <v>#DIV/0!</v>
      </c>
      <c r="BL27" s="10" t="e">
        <f t="shared" si="11"/>
        <v>#DIV/0!</v>
      </c>
      <c r="BM27" s="10">
        <f t="shared" si="12"/>
        <v>95</v>
      </c>
      <c r="BN27" s="10">
        <f t="shared" si="13"/>
        <v>95</v>
      </c>
      <c r="BO27" s="10">
        <f t="shared" si="14"/>
        <v>95</v>
      </c>
      <c r="BP27" s="10">
        <f t="shared" si="15"/>
        <v>97.5</v>
      </c>
      <c r="BQ27" s="10">
        <f t="shared" si="16"/>
        <v>0</v>
      </c>
      <c r="BR27" s="10">
        <f t="shared" si="17"/>
        <v>85</v>
      </c>
      <c r="BS27" s="10">
        <f t="shared" si="18"/>
        <v>82.352941176470594</v>
      </c>
      <c r="BT27" s="10">
        <f t="shared" si="19"/>
        <v>32.5</v>
      </c>
      <c r="BU27" s="10">
        <f t="shared" si="20"/>
        <v>67.5</v>
      </c>
      <c r="BV27" s="10">
        <f t="shared" si="21"/>
        <v>0</v>
      </c>
      <c r="BW27" s="10">
        <f t="shared" si="21"/>
        <v>65</v>
      </c>
      <c r="BX27" s="10">
        <f t="shared" si="21"/>
        <v>55</v>
      </c>
      <c r="BY27" s="10">
        <f t="shared" si="22"/>
        <v>42.5</v>
      </c>
      <c r="BZ27" s="10">
        <f t="shared" si="23"/>
        <v>100</v>
      </c>
      <c r="CA27" s="10">
        <f t="shared" si="24"/>
        <v>57.5</v>
      </c>
      <c r="CB27" s="10">
        <f t="shared" si="25"/>
        <v>0</v>
      </c>
      <c r="CC27" s="10">
        <f t="shared" si="26"/>
        <v>42.5</v>
      </c>
      <c r="CD27" s="10">
        <f t="shared" si="27"/>
        <v>55</v>
      </c>
      <c r="CE27" s="10">
        <f t="shared" si="28"/>
        <v>97.5</v>
      </c>
      <c r="CF27" s="10">
        <f t="shared" si="29"/>
        <v>2.5</v>
      </c>
      <c r="CG27" s="10">
        <f t="shared" si="30"/>
        <v>100</v>
      </c>
      <c r="CH27" s="10">
        <f t="shared" si="31"/>
        <v>100</v>
      </c>
      <c r="CI27" s="10">
        <f t="shared" si="32"/>
        <v>100</v>
      </c>
      <c r="CJ27" s="10">
        <f t="shared" si="33"/>
        <v>74.59986082115519</v>
      </c>
      <c r="CK27" s="10">
        <f t="shared" si="34"/>
        <v>1.0438413361169103</v>
      </c>
      <c r="CL27" s="10">
        <f t="shared" si="35"/>
        <v>7.5</v>
      </c>
      <c r="CM27" s="10"/>
      <c r="CN27" s="10">
        <f t="shared" si="36"/>
        <v>90</v>
      </c>
      <c r="CO27" s="10">
        <f t="shared" si="37"/>
        <v>42.5</v>
      </c>
      <c r="CP27" s="10">
        <f t="shared" si="38"/>
        <v>90</v>
      </c>
      <c r="CQ27" s="10">
        <f t="shared" si="39"/>
        <v>89.743589743589737</v>
      </c>
      <c r="CR27" s="10">
        <f t="shared" si="40"/>
        <v>5</v>
      </c>
      <c r="CS27" s="10">
        <f t="shared" si="41"/>
        <v>95</v>
      </c>
    </row>
    <row r="28" spans="1:97">
      <c r="A28" s="22" t="s">
        <v>172</v>
      </c>
      <c r="B28" s="22"/>
      <c r="C28" s="23" t="s">
        <v>145</v>
      </c>
      <c r="D28" s="24">
        <v>78</v>
      </c>
      <c r="E28" s="24">
        <v>78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78</v>
      </c>
      <c r="L28" s="24">
        <v>72</v>
      </c>
      <c r="M28" s="24">
        <v>76</v>
      </c>
      <c r="N28" s="24">
        <v>75</v>
      </c>
      <c r="O28" s="24">
        <v>76</v>
      </c>
      <c r="P28" s="24">
        <v>0</v>
      </c>
      <c r="Q28" s="24">
        <v>0</v>
      </c>
      <c r="R28" s="24">
        <v>72</v>
      </c>
      <c r="S28" s="24">
        <v>65</v>
      </c>
      <c r="T28" s="24">
        <v>19</v>
      </c>
      <c r="U28" s="24">
        <v>59</v>
      </c>
      <c r="V28" s="24">
        <v>0</v>
      </c>
      <c r="W28" s="24">
        <v>35</v>
      </c>
      <c r="X28" s="24">
        <v>30</v>
      </c>
      <c r="Y28" s="24">
        <v>25</v>
      </c>
      <c r="Z28" s="24">
        <v>78</v>
      </c>
      <c r="AA28" s="24">
        <v>53</v>
      </c>
      <c r="AB28" s="24">
        <v>0</v>
      </c>
      <c r="AC28" s="24">
        <v>21</v>
      </c>
      <c r="AD28" s="24">
        <v>56</v>
      </c>
      <c r="AE28" s="24">
        <v>77</v>
      </c>
      <c r="AF28" s="24">
        <v>1</v>
      </c>
      <c r="AG28" s="24">
        <v>78</v>
      </c>
      <c r="AH28" s="24">
        <v>78</v>
      </c>
      <c r="AI28" s="24">
        <v>78</v>
      </c>
      <c r="AJ28" s="24">
        <v>2925</v>
      </c>
      <c r="AK28" s="24">
        <v>1966</v>
      </c>
      <c r="AL28" s="24">
        <v>422</v>
      </c>
      <c r="AM28" s="24">
        <v>41</v>
      </c>
      <c r="AN28" s="24">
        <v>5</v>
      </c>
      <c r="AO28" s="24">
        <v>70</v>
      </c>
      <c r="AP28" s="24">
        <v>37</v>
      </c>
      <c r="AQ28" s="24">
        <v>70</v>
      </c>
      <c r="AR28" s="24">
        <v>61</v>
      </c>
      <c r="AS28" s="24">
        <v>15</v>
      </c>
      <c r="AT28" s="24">
        <v>9</v>
      </c>
      <c r="AU28" s="24">
        <v>14</v>
      </c>
      <c r="AV28" s="24">
        <v>10</v>
      </c>
      <c r="AW28" s="24">
        <v>10</v>
      </c>
      <c r="AX28" s="24">
        <v>8</v>
      </c>
      <c r="AY28" s="24">
        <v>8</v>
      </c>
      <c r="AZ28" s="24">
        <v>7</v>
      </c>
      <c r="BA28" s="24">
        <v>11</v>
      </c>
      <c r="BB28" s="24">
        <v>69</v>
      </c>
      <c r="BC28" s="25"/>
      <c r="BD28" s="24"/>
      <c r="BE28" s="24"/>
      <c r="BF28" s="24"/>
      <c r="BG28" s="26">
        <f t="shared" si="6"/>
        <v>100</v>
      </c>
      <c r="BH28" s="26">
        <f t="shared" si="7"/>
        <v>0</v>
      </c>
      <c r="BI28" s="26" t="e">
        <f t="shared" si="8"/>
        <v>#DIV/0!</v>
      </c>
      <c r="BJ28" s="26" t="e">
        <f t="shared" si="9"/>
        <v>#DIV/0!</v>
      </c>
      <c r="BK28" s="26" t="e">
        <f t="shared" si="10"/>
        <v>#DIV/0!</v>
      </c>
      <c r="BL28" s="26" t="e">
        <f t="shared" si="11"/>
        <v>#DIV/0!</v>
      </c>
      <c r="BM28" s="26">
        <f t="shared" si="12"/>
        <v>92.307692307692307</v>
      </c>
      <c r="BN28" s="26">
        <f t="shared" si="13"/>
        <v>97.435897435897431</v>
      </c>
      <c r="BO28" s="26">
        <f t="shared" si="14"/>
        <v>96.15384615384616</v>
      </c>
      <c r="BP28" s="26">
        <f t="shared" si="15"/>
        <v>97.435897435897431</v>
      </c>
      <c r="BQ28" s="26">
        <f t="shared" si="16"/>
        <v>0</v>
      </c>
      <c r="BR28" s="26">
        <f t="shared" si="17"/>
        <v>92.307692307692307</v>
      </c>
      <c r="BS28" s="26">
        <f t="shared" si="18"/>
        <v>90.277777777777771</v>
      </c>
      <c r="BT28" s="26">
        <f t="shared" si="19"/>
        <v>24.358974358974358</v>
      </c>
      <c r="BU28" s="26">
        <f t="shared" si="20"/>
        <v>75.641025641025635</v>
      </c>
      <c r="BV28" s="26">
        <f t="shared" si="21"/>
        <v>0</v>
      </c>
      <c r="BW28" s="26">
        <f t="shared" si="21"/>
        <v>44.871794871794869</v>
      </c>
      <c r="BX28" s="26">
        <f t="shared" si="21"/>
        <v>38.46153846153846</v>
      </c>
      <c r="BY28" s="26">
        <f t="shared" si="22"/>
        <v>32.051282051282051</v>
      </c>
      <c r="BZ28" s="26">
        <f t="shared" si="23"/>
        <v>100</v>
      </c>
      <c r="CA28" s="26">
        <f t="shared" si="24"/>
        <v>67.948717948717942</v>
      </c>
      <c r="CB28" s="26">
        <f t="shared" si="25"/>
        <v>0</v>
      </c>
      <c r="CC28" s="26">
        <f t="shared" si="26"/>
        <v>26.923076923076923</v>
      </c>
      <c r="CD28" s="26">
        <f t="shared" si="27"/>
        <v>71.794871794871796</v>
      </c>
      <c r="CE28" s="26">
        <f t="shared" si="28"/>
        <v>98.717948717948715</v>
      </c>
      <c r="CF28" s="26">
        <f t="shared" si="29"/>
        <v>1.2820512820512822</v>
      </c>
      <c r="CG28" s="26">
        <f t="shared" si="30"/>
        <v>100</v>
      </c>
      <c r="CH28" s="26">
        <f t="shared" si="31"/>
        <v>100</v>
      </c>
      <c r="CI28" s="26">
        <f t="shared" si="32"/>
        <v>100</v>
      </c>
      <c r="CJ28" s="26">
        <f t="shared" si="33"/>
        <v>67.213675213675216</v>
      </c>
      <c r="CK28" s="26">
        <f t="shared" si="34"/>
        <v>14.427350427350428</v>
      </c>
      <c r="CL28" s="26">
        <f t="shared" si="35"/>
        <v>52.564102564102562</v>
      </c>
      <c r="CM28" s="26"/>
      <c r="CN28" s="26">
        <f t="shared" si="36"/>
        <v>89.743589743589737</v>
      </c>
      <c r="CO28" s="26">
        <f t="shared" si="37"/>
        <v>47.435897435897438</v>
      </c>
      <c r="CP28" s="26">
        <f t="shared" si="38"/>
        <v>89.743589743589737</v>
      </c>
      <c r="CQ28" s="26">
        <f t="shared" si="39"/>
        <v>80.263157894736835</v>
      </c>
      <c r="CR28" s="26">
        <f t="shared" si="40"/>
        <v>11.538461538461538</v>
      </c>
      <c r="CS28" s="26">
        <f t="shared" si="41"/>
        <v>88.461538461538467</v>
      </c>
    </row>
    <row r="29" spans="1:97">
      <c r="A29" s="8" t="s">
        <v>173</v>
      </c>
      <c r="B29" s="8" t="s">
        <v>174</v>
      </c>
      <c r="C29" s="21" t="s">
        <v>145</v>
      </c>
      <c r="D29" s="9">
        <v>32</v>
      </c>
      <c r="E29" s="9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32</v>
      </c>
      <c r="L29" s="9">
        <v>32</v>
      </c>
      <c r="M29" s="9">
        <v>32</v>
      </c>
      <c r="N29" s="9">
        <v>32</v>
      </c>
      <c r="O29" s="9">
        <v>32</v>
      </c>
      <c r="P29" s="9">
        <v>0</v>
      </c>
      <c r="Q29" s="9">
        <v>0</v>
      </c>
      <c r="R29" s="9">
        <v>32</v>
      </c>
      <c r="S29" s="9">
        <v>31</v>
      </c>
      <c r="T29" s="9">
        <v>0</v>
      </c>
      <c r="U29" s="9">
        <v>32</v>
      </c>
      <c r="V29" s="9">
        <v>0</v>
      </c>
      <c r="W29" s="9">
        <v>29</v>
      </c>
      <c r="X29" s="9">
        <v>28</v>
      </c>
      <c r="Y29" s="9">
        <v>5</v>
      </c>
      <c r="Z29" s="9">
        <v>29</v>
      </c>
      <c r="AA29" s="9">
        <v>24</v>
      </c>
      <c r="AB29" s="9">
        <v>3</v>
      </c>
      <c r="AC29" s="9">
        <v>5</v>
      </c>
      <c r="AD29" s="9">
        <v>24</v>
      </c>
      <c r="AE29" s="9">
        <v>29</v>
      </c>
      <c r="AF29" s="9">
        <v>3</v>
      </c>
      <c r="AG29" s="9">
        <v>32</v>
      </c>
      <c r="AH29" s="9">
        <v>32</v>
      </c>
      <c r="AI29" s="9">
        <v>32</v>
      </c>
      <c r="AJ29" s="9">
        <v>1533</v>
      </c>
      <c r="AK29" s="9">
        <v>867</v>
      </c>
      <c r="AL29" s="9">
        <v>79</v>
      </c>
      <c r="AM29" s="9">
        <v>16</v>
      </c>
      <c r="AN29" s="9">
        <v>0</v>
      </c>
      <c r="AO29" s="9">
        <v>32</v>
      </c>
      <c r="AP29" s="9">
        <v>31</v>
      </c>
      <c r="AQ29" s="9">
        <v>32</v>
      </c>
      <c r="AR29" s="9">
        <v>31</v>
      </c>
      <c r="AS29" s="9">
        <v>1</v>
      </c>
      <c r="AT29" s="9">
        <v>4</v>
      </c>
      <c r="AU29" s="9">
        <v>14</v>
      </c>
      <c r="AV29" s="9">
        <v>7</v>
      </c>
      <c r="AW29" s="9">
        <v>6</v>
      </c>
      <c r="AX29" s="9">
        <v>1</v>
      </c>
      <c r="AY29" s="9">
        <v>0</v>
      </c>
      <c r="AZ29" s="9">
        <v>0</v>
      </c>
      <c r="BA29" s="9">
        <v>0</v>
      </c>
      <c r="BB29" s="9">
        <v>28</v>
      </c>
      <c r="BC29" s="18"/>
      <c r="BD29" s="9"/>
      <c r="BE29" s="9"/>
      <c r="BF29" s="9"/>
      <c r="BG29" s="10">
        <f t="shared" si="6"/>
        <v>100</v>
      </c>
      <c r="BH29" s="10">
        <f t="shared" si="7"/>
        <v>0</v>
      </c>
      <c r="BI29" s="10" t="e">
        <f t="shared" si="8"/>
        <v>#DIV/0!</v>
      </c>
      <c r="BJ29" s="10" t="e">
        <f t="shared" si="9"/>
        <v>#DIV/0!</v>
      </c>
      <c r="BK29" s="10" t="e">
        <f t="shared" si="10"/>
        <v>#DIV/0!</v>
      </c>
      <c r="BL29" s="10" t="e">
        <f t="shared" si="11"/>
        <v>#DIV/0!</v>
      </c>
      <c r="BM29" s="10">
        <f t="shared" si="12"/>
        <v>100</v>
      </c>
      <c r="BN29" s="10">
        <f t="shared" si="13"/>
        <v>100</v>
      </c>
      <c r="BO29" s="10">
        <f t="shared" si="14"/>
        <v>100</v>
      </c>
      <c r="BP29" s="10">
        <f t="shared" si="15"/>
        <v>100</v>
      </c>
      <c r="BQ29" s="10">
        <f t="shared" si="16"/>
        <v>0</v>
      </c>
      <c r="BR29" s="10">
        <f t="shared" si="17"/>
        <v>100</v>
      </c>
      <c r="BS29" s="10">
        <f t="shared" si="18"/>
        <v>96.875</v>
      </c>
      <c r="BT29" s="10">
        <f t="shared" si="19"/>
        <v>0</v>
      </c>
      <c r="BU29" s="10">
        <f t="shared" si="20"/>
        <v>100</v>
      </c>
      <c r="BV29" s="10">
        <f t="shared" si="21"/>
        <v>0</v>
      </c>
      <c r="BW29" s="10">
        <f t="shared" si="21"/>
        <v>90.625</v>
      </c>
      <c r="BX29" s="10">
        <f t="shared" si="21"/>
        <v>87.5</v>
      </c>
      <c r="BY29" s="10">
        <f t="shared" si="22"/>
        <v>15.625</v>
      </c>
      <c r="BZ29" s="10">
        <f t="shared" si="23"/>
        <v>90.625</v>
      </c>
      <c r="CA29" s="10">
        <f t="shared" si="24"/>
        <v>75</v>
      </c>
      <c r="CB29" s="10">
        <f t="shared" si="25"/>
        <v>9.375</v>
      </c>
      <c r="CC29" s="10">
        <f t="shared" si="26"/>
        <v>15.625</v>
      </c>
      <c r="CD29" s="10">
        <f t="shared" si="27"/>
        <v>75</v>
      </c>
      <c r="CE29" s="10">
        <f t="shared" si="28"/>
        <v>90.625</v>
      </c>
      <c r="CF29" s="10">
        <f t="shared" si="29"/>
        <v>9.375</v>
      </c>
      <c r="CG29" s="10">
        <f t="shared" si="30"/>
        <v>100</v>
      </c>
      <c r="CH29" s="10">
        <f t="shared" si="31"/>
        <v>100</v>
      </c>
      <c r="CI29" s="10">
        <f t="shared" si="32"/>
        <v>100</v>
      </c>
      <c r="CJ29" s="10">
        <f t="shared" si="33"/>
        <v>56.555772994129157</v>
      </c>
      <c r="CK29" s="10">
        <f t="shared" si="34"/>
        <v>5.1532941943900852</v>
      </c>
      <c r="CL29" s="10">
        <f t="shared" si="35"/>
        <v>50</v>
      </c>
      <c r="CM29" s="10"/>
      <c r="CN29" s="10">
        <f t="shared" si="36"/>
        <v>100</v>
      </c>
      <c r="CO29" s="10">
        <f t="shared" si="37"/>
        <v>96.875</v>
      </c>
      <c r="CP29" s="10">
        <f t="shared" si="38"/>
        <v>100</v>
      </c>
      <c r="CQ29" s="10">
        <f t="shared" si="39"/>
        <v>96.875</v>
      </c>
      <c r="CR29" s="10">
        <f t="shared" si="40"/>
        <v>12.5</v>
      </c>
      <c r="CS29" s="10">
        <f t="shared" si="41"/>
        <v>87.5</v>
      </c>
    </row>
    <row r="30" spans="1:97">
      <c r="A30" s="22" t="s">
        <v>175</v>
      </c>
      <c r="B30" s="22"/>
      <c r="C30" s="23" t="s">
        <v>145</v>
      </c>
      <c r="D30" s="24">
        <v>32</v>
      </c>
      <c r="E30" s="24">
        <v>32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32</v>
      </c>
      <c r="L30" s="24">
        <v>32</v>
      </c>
      <c r="M30" s="24">
        <v>32</v>
      </c>
      <c r="N30" s="24">
        <v>32</v>
      </c>
      <c r="O30" s="24">
        <v>32</v>
      </c>
      <c r="P30" s="24">
        <v>0</v>
      </c>
      <c r="Q30" s="24">
        <v>0</v>
      </c>
      <c r="R30" s="24">
        <v>32</v>
      </c>
      <c r="S30" s="24">
        <v>31</v>
      </c>
      <c r="T30" s="24">
        <v>0</v>
      </c>
      <c r="U30" s="24">
        <v>32</v>
      </c>
      <c r="V30" s="24">
        <v>0</v>
      </c>
      <c r="W30" s="24">
        <v>29</v>
      </c>
      <c r="X30" s="24">
        <v>28</v>
      </c>
      <c r="Y30" s="24">
        <v>5</v>
      </c>
      <c r="Z30" s="24">
        <v>29</v>
      </c>
      <c r="AA30" s="24">
        <v>24</v>
      </c>
      <c r="AB30" s="24">
        <v>3</v>
      </c>
      <c r="AC30" s="24">
        <v>5</v>
      </c>
      <c r="AD30" s="24">
        <v>24</v>
      </c>
      <c r="AE30" s="24">
        <v>29</v>
      </c>
      <c r="AF30" s="24">
        <v>3</v>
      </c>
      <c r="AG30" s="24">
        <v>32</v>
      </c>
      <c r="AH30" s="24">
        <v>32</v>
      </c>
      <c r="AI30" s="24">
        <v>32</v>
      </c>
      <c r="AJ30" s="24">
        <v>1533</v>
      </c>
      <c r="AK30" s="24">
        <v>867</v>
      </c>
      <c r="AL30" s="24">
        <v>79</v>
      </c>
      <c r="AM30" s="24">
        <v>16</v>
      </c>
      <c r="AN30" s="24">
        <v>0</v>
      </c>
      <c r="AO30" s="24">
        <v>32</v>
      </c>
      <c r="AP30" s="24">
        <v>31</v>
      </c>
      <c r="AQ30" s="24">
        <v>32</v>
      </c>
      <c r="AR30" s="24">
        <v>31</v>
      </c>
      <c r="AS30" s="24">
        <v>1</v>
      </c>
      <c r="AT30" s="24">
        <v>4</v>
      </c>
      <c r="AU30" s="24">
        <v>14</v>
      </c>
      <c r="AV30" s="24">
        <v>7</v>
      </c>
      <c r="AW30" s="24">
        <v>6</v>
      </c>
      <c r="AX30" s="24">
        <v>1</v>
      </c>
      <c r="AY30" s="24">
        <v>0</v>
      </c>
      <c r="AZ30" s="24">
        <v>0</v>
      </c>
      <c r="BA30" s="24">
        <v>0</v>
      </c>
      <c r="BB30" s="24">
        <v>28</v>
      </c>
      <c r="BC30" s="25"/>
      <c r="BD30" s="24"/>
      <c r="BE30" s="24"/>
      <c r="BF30" s="24"/>
      <c r="BG30" s="26">
        <f t="shared" si="6"/>
        <v>100</v>
      </c>
      <c r="BH30" s="26">
        <f t="shared" si="7"/>
        <v>0</v>
      </c>
      <c r="BI30" s="26" t="e">
        <f t="shared" si="8"/>
        <v>#DIV/0!</v>
      </c>
      <c r="BJ30" s="26" t="e">
        <f t="shared" si="9"/>
        <v>#DIV/0!</v>
      </c>
      <c r="BK30" s="26" t="e">
        <f t="shared" si="10"/>
        <v>#DIV/0!</v>
      </c>
      <c r="BL30" s="26" t="e">
        <f t="shared" si="11"/>
        <v>#DIV/0!</v>
      </c>
      <c r="BM30" s="26">
        <f t="shared" si="12"/>
        <v>100</v>
      </c>
      <c r="BN30" s="26">
        <f t="shared" si="13"/>
        <v>100</v>
      </c>
      <c r="BO30" s="26">
        <f t="shared" si="14"/>
        <v>100</v>
      </c>
      <c r="BP30" s="26">
        <f t="shared" si="15"/>
        <v>100</v>
      </c>
      <c r="BQ30" s="26">
        <f t="shared" si="16"/>
        <v>0</v>
      </c>
      <c r="BR30" s="26">
        <f t="shared" si="17"/>
        <v>100</v>
      </c>
      <c r="BS30" s="26">
        <f t="shared" si="18"/>
        <v>96.875</v>
      </c>
      <c r="BT30" s="26">
        <f t="shared" si="19"/>
        <v>0</v>
      </c>
      <c r="BU30" s="26">
        <f t="shared" si="20"/>
        <v>100</v>
      </c>
      <c r="BV30" s="26">
        <f t="shared" si="21"/>
        <v>0</v>
      </c>
      <c r="BW30" s="26">
        <f t="shared" si="21"/>
        <v>90.625</v>
      </c>
      <c r="BX30" s="26">
        <f t="shared" si="21"/>
        <v>87.5</v>
      </c>
      <c r="BY30" s="26">
        <f t="shared" si="22"/>
        <v>15.625</v>
      </c>
      <c r="BZ30" s="26">
        <f t="shared" si="23"/>
        <v>90.625</v>
      </c>
      <c r="CA30" s="26">
        <f t="shared" si="24"/>
        <v>75</v>
      </c>
      <c r="CB30" s="26">
        <f t="shared" si="25"/>
        <v>9.375</v>
      </c>
      <c r="CC30" s="26">
        <f t="shared" si="26"/>
        <v>15.625</v>
      </c>
      <c r="CD30" s="26">
        <f t="shared" si="27"/>
        <v>75</v>
      </c>
      <c r="CE30" s="26">
        <f t="shared" si="28"/>
        <v>90.625</v>
      </c>
      <c r="CF30" s="26">
        <f t="shared" si="29"/>
        <v>9.375</v>
      </c>
      <c r="CG30" s="26">
        <f t="shared" si="30"/>
        <v>100</v>
      </c>
      <c r="CH30" s="26">
        <f t="shared" si="31"/>
        <v>100</v>
      </c>
      <c r="CI30" s="26">
        <f t="shared" si="32"/>
        <v>100</v>
      </c>
      <c r="CJ30" s="26">
        <f t="shared" si="33"/>
        <v>56.555772994129157</v>
      </c>
      <c r="CK30" s="26">
        <f t="shared" si="34"/>
        <v>5.1532941943900852</v>
      </c>
      <c r="CL30" s="26">
        <f t="shared" si="35"/>
        <v>50</v>
      </c>
      <c r="CM30" s="26"/>
      <c r="CN30" s="26">
        <f t="shared" si="36"/>
        <v>100</v>
      </c>
      <c r="CO30" s="26">
        <f t="shared" si="37"/>
        <v>96.875</v>
      </c>
      <c r="CP30" s="26">
        <f t="shared" si="38"/>
        <v>100</v>
      </c>
      <c r="CQ30" s="26">
        <f t="shared" si="39"/>
        <v>96.875</v>
      </c>
      <c r="CR30" s="26">
        <f t="shared" si="40"/>
        <v>12.5</v>
      </c>
      <c r="CS30" s="26">
        <f t="shared" si="41"/>
        <v>87.5</v>
      </c>
    </row>
    <row r="31" spans="1:97">
      <c r="A31" s="8" t="s">
        <v>176</v>
      </c>
      <c r="B31" s="8" t="s">
        <v>177</v>
      </c>
      <c r="C31" s="21" t="s">
        <v>145</v>
      </c>
      <c r="D31" s="9">
        <v>39</v>
      </c>
      <c r="E31" s="9">
        <v>38</v>
      </c>
      <c r="F31" s="9">
        <v>1</v>
      </c>
      <c r="G31" s="9">
        <v>0</v>
      </c>
      <c r="H31" s="9">
        <v>0</v>
      </c>
      <c r="I31" s="9">
        <v>0</v>
      </c>
      <c r="J31" s="9">
        <v>1</v>
      </c>
      <c r="K31" s="9">
        <v>38</v>
      </c>
      <c r="L31" s="9">
        <v>37</v>
      </c>
      <c r="M31" s="9">
        <v>38</v>
      </c>
      <c r="N31" s="9">
        <v>38</v>
      </c>
      <c r="O31" s="9">
        <v>35</v>
      </c>
      <c r="P31" s="9">
        <v>0</v>
      </c>
      <c r="Q31" s="9">
        <v>0</v>
      </c>
      <c r="R31" s="9">
        <v>37</v>
      </c>
      <c r="S31" s="9">
        <v>22</v>
      </c>
      <c r="T31" s="9">
        <v>11</v>
      </c>
      <c r="U31" s="9">
        <v>27</v>
      </c>
      <c r="V31" s="9">
        <v>0</v>
      </c>
      <c r="W31" s="9">
        <v>15</v>
      </c>
      <c r="X31" s="9">
        <v>13</v>
      </c>
      <c r="Y31" s="9">
        <v>13</v>
      </c>
      <c r="Z31" s="9">
        <v>38</v>
      </c>
      <c r="AA31" s="9">
        <v>25</v>
      </c>
      <c r="AB31" s="9">
        <v>0</v>
      </c>
      <c r="AC31" s="9">
        <v>19</v>
      </c>
      <c r="AD31" s="9">
        <v>19</v>
      </c>
      <c r="AE31" s="9">
        <v>38</v>
      </c>
      <c r="AF31" s="9">
        <v>0</v>
      </c>
      <c r="AG31" s="9">
        <v>38</v>
      </c>
      <c r="AH31" s="9">
        <v>38</v>
      </c>
      <c r="AI31" s="9">
        <v>38</v>
      </c>
      <c r="AJ31" s="9">
        <v>876</v>
      </c>
      <c r="AK31" s="9">
        <v>568</v>
      </c>
      <c r="AL31" s="9">
        <v>298</v>
      </c>
      <c r="AM31" s="9">
        <v>13</v>
      </c>
      <c r="AN31" s="9">
        <v>2</v>
      </c>
      <c r="AO31" s="9">
        <v>37</v>
      </c>
      <c r="AP31" s="9">
        <v>35</v>
      </c>
      <c r="AQ31" s="9">
        <v>37</v>
      </c>
      <c r="AR31" s="9">
        <v>33</v>
      </c>
      <c r="AS31" s="9">
        <v>2</v>
      </c>
      <c r="AT31" s="9">
        <v>0</v>
      </c>
      <c r="AU31" s="9">
        <v>4</v>
      </c>
      <c r="AV31" s="9">
        <v>11</v>
      </c>
      <c r="AW31" s="9">
        <v>4</v>
      </c>
      <c r="AX31" s="9">
        <v>4</v>
      </c>
      <c r="AY31" s="9">
        <v>4</v>
      </c>
      <c r="AZ31" s="9">
        <v>6</v>
      </c>
      <c r="BA31" s="9">
        <v>5</v>
      </c>
      <c r="BB31" s="9">
        <v>38</v>
      </c>
      <c r="BC31" s="18"/>
      <c r="BD31" s="9"/>
      <c r="BE31" s="9"/>
      <c r="BF31" s="9"/>
      <c r="BG31" s="10">
        <f t="shared" si="6"/>
        <v>97.435897435897431</v>
      </c>
      <c r="BH31" s="10">
        <f t="shared" si="7"/>
        <v>2.5641025641025643</v>
      </c>
      <c r="BI31" s="10">
        <f t="shared" si="8"/>
        <v>0</v>
      </c>
      <c r="BJ31" s="10">
        <f t="shared" si="9"/>
        <v>0</v>
      </c>
      <c r="BK31" s="10">
        <f t="shared" si="10"/>
        <v>0</v>
      </c>
      <c r="BL31" s="10">
        <f t="shared" si="11"/>
        <v>100</v>
      </c>
      <c r="BM31" s="10">
        <f t="shared" si="12"/>
        <v>97.368421052631575</v>
      </c>
      <c r="BN31" s="10">
        <f t="shared" si="13"/>
        <v>100</v>
      </c>
      <c r="BO31" s="10">
        <f t="shared" si="14"/>
        <v>100</v>
      </c>
      <c r="BP31" s="10">
        <f t="shared" si="15"/>
        <v>92.10526315789474</v>
      </c>
      <c r="BQ31" s="10">
        <f t="shared" si="16"/>
        <v>0</v>
      </c>
      <c r="BR31" s="10">
        <f t="shared" si="17"/>
        <v>97.368421052631575</v>
      </c>
      <c r="BS31" s="10">
        <f t="shared" si="18"/>
        <v>59.45945945945946</v>
      </c>
      <c r="BT31" s="10">
        <f t="shared" si="19"/>
        <v>28.94736842105263</v>
      </c>
      <c r="BU31" s="10">
        <f t="shared" si="20"/>
        <v>71.05263157894737</v>
      </c>
      <c r="BV31" s="10">
        <f t="shared" si="21"/>
        <v>0</v>
      </c>
      <c r="BW31" s="10">
        <f t="shared" si="21"/>
        <v>39.473684210526315</v>
      </c>
      <c r="BX31" s="10">
        <f t="shared" si="21"/>
        <v>34.210526315789473</v>
      </c>
      <c r="BY31" s="10">
        <f t="shared" si="22"/>
        <v>34.210526315789473</v>
      </c>
      <c r="BZ31" s="10">
        <f t="shared" si="23"/>
        <v>100</v>
      </c>
      <c r="CA31" s="10">
        <f t="shared" si="24"/>
        <v>65.78947368421052</v>
      </c>
      <c r="CB31" s="10">
        <f t="shared" si="25"/>
        <v>0</v>
      </c>
      <c r="CC31" s="10">
        <f t="shared" si="26"/>
        <v>50</v>
      </c>
      <c r="CD31" s="10">
        <f t="shared" si="27"/>
        <v>50</v>
      </c>
      <c r="CE31" s="10">
        <f t="shared" si="28"/>
        <v>100</v>
      </c>
      <c r="CF31" s="10">
        <f t="shared" si="29"/>
        <v>0</v>
      </c>
      <c r="CG31" s="10">
        <f t="shared" si="30"/>
        <v>100</v>
      </c>
      <c r="CH31" s="10">
        <f t="shared" si="31"/>
        <v>100</v>
      </c>
      <c r="CI31" s="10">
        <f t="shared" si="32"/>
        <v>100</v>
      </c>
      <c r="CJ31" s="10">
        <f t="shared" si="33"/>
        <v>64.840182648401822</v>
      </c>
      <c r="CK31" s="10">
        <f t="shared" si="34"/>
        <v>34.018264840182646</v>
      </c>
      <c r="CL31" s="10">
        <f t="shared" si="35"/>
        <v>34.210526315789473</v>
      </c>
      <c r="CM31" s="10"/>
      <c r="CN31" s="10">
        <f t="shared" si="36"/>
        <v>97.368421052631575</v>
      </c>
      <c r="CO31" s="10">
        <f t="shared" si="37"/>
        <v>92.10526315789474</v>
      </c>
      <c r="CP31" s="10">
        <f t="shared" si="38"/>
        <v>97.368421052631575</v>
      </c>
      <c r="CQ31" s="10">
        <f t="shared" si="39"/>
        <v>94.285714285714292</v>
      </c>
      <c r="CR31" s="10">
        <f t="shared" si="40"/>
        <v>0</v>
      </c>
      <c r="CS31" s="10">
        <f t="shared" si="41"/>
        <v>100</v>
      </c>
    </row>
    <row r="32" spans="1:97">
      <c r="A32" s="8" t="s">
        <v>176</v>
      </c>
      <c r="B32" s="8" t="s">
        <v>178</v>
      </c>
      <c r="C32" s="21" t="s">
        <v>145</v>
      </c>
      <c r="D32" s="9">
        <v>44</v>
      </c>
      <c r="E32" s="9">
        <v>28</v>
      </c>
      <c r="F32" s="9">
        <v>16</v>
      </c>
      <c r="G32" s="9">
        <v>16</v>
      </c>
      <c r="H32" s="9">
        <v>0</v>
      </c>
      <c r="I32" s="9">
        <v>0</v>
      </c>
      <c r="J32" s="9">
        <v>0</v>
      </c>
      <c r="K32" s="9">
        <v>28</v>
      </c>
      <c r="L32" s="9">
        <v>28</v>
      </c>
      <c r="M32" s="9">
        <v>28</v>
      </c>
      <c r="N32" s="9">
        <v>28</v>
      </c>
      <c r="O32" s="9">
        <v>28</v>
      </c>
      <c r="P32" s="9">
        <v>0</v>
      </c>
      <c r="Q32" s="9">
        <v>0</v>
      </c>
      <c r="R32" s="9">
        <v>12</v>
      </c>
      <c r="S32" s="9">
        <v>10</v>
      </c>
      <c r="T32" s="9">
        <v>9</v>
      </c>
      <c r="U32" s="9">
        <v>19</v>
      </c>
      <c r="V32" s="9">
        <v>0</v>
      </c>
      <c r="W32" s="9">
        <v>15</v>
      </c>
      <c r="X32" s="9">
        <v>13</v>
      </c>
      <c r="Y32" s="9">
        <v>9</v>
      </c>
      <c r="Z32" s="9">
        <v>28</v>
      </c>
      <c r="AA32" s="9">
        <v>19</v>
      </c>
      <c r="AB32" s="9">
        <v>0</v>
      </c>
      <c r="AC32" s="9">
        <v>9</v>
      </c>
      <c r="AD32" s="9">
        <v>19</v>
      </c>
      <c r="AE32" s="9">
        <v>28</v>
      </c>
      <c r="AF32" s="9">
        <v>0</v>
      </c>
      <c r="AG32" s="9">
        <v>28</v>
      </c>
      <c r="AH32" s="9">
        <v>28</v>
      </c>
      <c r="AI32" s="9">
        <v>28</v>
      </c>
      <c r="AJ32" s="9">
        <v>382</v>
      </c>
      <c r="AK32" s="9">
        <v>293</v>
      </c>
      <c r="AL32" s="9">
        <v>89</v>
      </c>
      <c r="AM32" s="9">
        <v>28</v>
      </c>
      <c r="AN32" s="9">
        <v>1</v>
      </c>
      <c r="AO32" s="9">
        <v>2</v>
      </c>
      <c r="AP32" s="9">
        <v>23</v>
      </c>
      <c r="AQ32" s="9">
        <v>2</v>
      </c>
      <c r="AR32" s="9">
        <v>2</v>
      </c>
      <c r="AS32" s="9">
        <v>22</v>
      </c>
      <c r="AT32" s="9">
        <v>27</v>
      </c>
      <c r="AU32" s="9">
        <v>1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1</v>
      </c>
      <c r="BC32" s="18"/>
      <c r="BD32" s="9"/>
      <c r="BE32" s="9"/>
      <c r="BF32" s="9"/>
      <c r="BG32" s="10">
        <f t="shared" si="6"/>
        <v>63.636363636363633</v>
      </c>
      <c r="BH32" s="10">
        <f t="shared" si="7"/>
        <v>36.363636363636367</v>
      </c>
      <c r="BI32" s="10">
        <f t="shared" si="8"/>
        <v>100</v>
      </c>
      <c r="BJ32" s="10">
        <f t="shared" si="9"/>
        <v>0</v>
      </c>
      <c r="BK32" s="10">
        <f t="shared" si="10"/>
        <v>0</v>
      </c>
      <c r="BL32" s="10">
        <f t="shared" si="11"/>
        <v>0</v>
      </c>
      <c r="BM32" s="10">
        <f t="shared" si="12"/>
        <v>100</v>
      </c>
      <c r="BN32" s="10">
        <f t="shared" si="13"/>
        <v>100</v>
      </c>
      <c r="BO32" s="10">
        <f t="shared" si="14"/>
        <v>100</v>
      </c>
      <c r="BP32" s="10">
        <f t="shared" si="15"/>
        <v>100</v>
      </c>
      <c r="BQ32" s="10">
        <f t="shared" si="16"/>
        <v>0</v>
      </c>
      <c r="BR32" s="10">
        <f t="shared" si="17"/>
        <v>42.857142857142854</v>
      </c>
      <c r="BS32" s="10">
        <f t="shared" si="18"/>
        <v>83.333333333333329</v>
      </c>
      <c r="BT32" s="10">
        <f t="shared" si="19"/>
        <v>32.142857142857146</v>
      </c>
      <c r="BU32" s="10">
        <f t="shared" si="20"/>
        <v>67.857142857142861</v>
      </c>
      <c r="BV32" s="10">
        <f t="shared" si="21"/>
        <v>0</v>
      </c>
      <c r="BW32" s="10">
        <f t="shared" si="21"/>
        <v>53.571428571428569</v>
      </c>
      <c r="BX32" s="10">
        <f t="shared" si="21"/>
        <v>46.428571428571431</v>
      </c>
      <c r="BY32" s="10">
        <f t="shared" si="22"/>
        <v>32.142857142857146</v>
      </c>
      <c r="BZ32" s="10">
        <f t="shared" si="23"/>
        <v>100</v>
      </c>
      <c r="CA32" s="10">
        <f t="shared" si="24"/>
        <v>67.857142857142861</v>
      </c>
      <c r="CB32" s="10">
        <f t="shared" si="25"/>
        <v>0</v>
      </c>
      <c r="CC32" s="10">
        <f t="shared" si="26"/>
        <v>32.142857142857146</v>
      </c>
      <c r="CD32" s="10">
        <f t="shared" si="27"/>
        <v>67.857142857142861</v>
      </c>
      <c r="CE32" s="10">
        <f t="shared" si="28"/>
        <v>100</v>
      </c>
      <c r="CF32" s="10">
        <f t="shared" si="29"/>
        <v>0</v>
      </c>
      <c r="CG32" s="10">
        <f t="shared" si="30"/>
        <v>100</v>
      </c>
      <c r="CH32" s="10">
        <f t="shared" si="31"/>
        <v>100</v>
      </c>
      <c r="CI32" s="10">
        <f t="shared" si="32"/>
        <v>100</v>
      </c>
      <c r="CJ32" s="10">
        <f t="shared" si="33"/>
        <v>76.701570680628279</v>
      </c>
      <c r="CK32" s="10">
        <f t="shared" si="34"/>
        <v>23.298429319371728</v>
      </c>
      <c r="CL32" s="10">
        <f t="shared" si="35"/>
        <v>100</v>
      </c>
      <c r="CM32" s="10"/>
      <c r="CN32" s="10">
        <f t="shared" si="36"/>
        <v>7.1428571428571432</v>
      </c>
      <c r="CO32" s="10">
        <f t="shared" si="37"/>
        <v>82.142857142857139</v>
      </c>
      <c r="CP32" s="10">
        <f t="shared" si="38"/>
        <v>7.1428571428571432</v>
      </c>
      <c r="CQ32" s="10">
        <f t="shared" si="39"/>
        <v>8.3333333333333339</v>
      </c>
      <c r="CR32" s="10">
        <f t="shared" si="40"/>
        <v>96.428571428571431</v>
      </c>
      <c r="CS32" s="10">
        <f t="shared" si="41"/>
        <v>3.5714285714285716</v>
      </c>
    </row>
    <row r="33" spans="1:97">
      <c r="A33" s="22" t="s">
        <v>179</v>
      </c>
      <c r="B33" s="22"/>
      <c r="C33" s="23" t="s">
        <v>145</v>
      </c>
      <c r="D33" s="24">
        <v>83</v>
      </c>
      <c r="E33" s="24">
        <v>66</v>
      </c>
      <c r="F33" s="24">
        <v>17</v>
      </c>
      <c r="G33" s="24">
        <v>16</v>
      </c>
      <c r="H33" s="24">
        <v>0</v>
      </c>
      <c r="I33" s="24">
        <v>0</v>
      </c>
      <c r="J33" s="24">
        <v>1</v>
      </c>
      <c r="K33" s="24">
        <v>66</v>
      </c>
      <c r="L33" s="24">
        <v>65</v>
      </c>
      <c r="M33" s="24">
        <v>66</v>
      </c>
      <c r="N33" s="24">
        <v>66</v>
      </c>
      <c r="O33" s="24">
        <v>63</v>
      </c>
      <c r="P33" s="24">
        <v>0</v>
      </c>
      <c r="Q33" s="24">
        <v>0</v>
      </c>
      <c r="R33" s="24">
        <v>49</v>
      </c>
      <c r="S33" s="24">
        <v>32</v>
      </c>
      <c r="T33" s="24">
        <v>20</v>
      </c>
      <c r="U33" s="24">
        <v>46</v>
      </c>
      <c r="V33" s="24">
        <v>0</v>
      </c>
      <c r="W33" s="24">
        <v>30</v>
      </c>
      <c r="X33" s="24">
        <v>26</v>
      </c>
      <c r="Y33" s="24">
        <v>22</v>
      </c>
      <c r="Z33" s="24">
        <v>66</v>
      </c>
      <c r="AA33" s="24">
        <v>44</v>
      </c>
      <c r="AB33" s="24">
        <v>0</v>
      </c>
      <c r="AC33" s="24">
        <v>28</v>
      </c>
      <c r="AD33" s="24">
        <v>38</v>
      </c>
      <c r="AE33" s="24">
        <v>66</v>
      </c>
      <c r="AF33" s="24">
        <v>0</v>
      </c>
      <c r="AG33" s="24">
        <v>66</v>
      </c>
      <c r="AH33" s="24">
        <v>66</v>
      </c>
      <c r="AI33" s="24">
        <v>66</v>
      </c>
      <c r="AJ33" s="24">
        <v>1258</v>
      </c>
      <c r="AK33" s="24">
        <v>861</v>
      </c>
      <c r="AL33" s="24">
        <v>387</v>
      </c>
      <c r="AM33" s="24">
        <v>41</v>
      </c>
      <c r="AN33" s="24">
        <v>3</v>
      </c>
      <c r="AO33" s="24">
        <v>39</v>
      </c>
      <c r="AP33" s="24">
        <v>58</v>
      </c>
      <c r="AQ33" s="24">
        <v>39</v>
      </c>
      <c r="AR33" s="24">
        <v>35</v>
      </c>
      <c r="AS33" s="24">
        <v>24</v>
      </c>
      <c r="AT33" s="24">
        <v>27</v>
      </c>
      <c r="AU33" s="24">
        <v>5</v>
      </c>
      <c r="AV33" s="24">
        <v>11</v>
      </c>
      <c r="AW33" s="24">
        <v>4</v>
      </c>
      <c r="AX33" s="24">
        <v>4</v>
      </c>
      <c r="AY33" s="24">
        <v>4</v>
      </c>
      <c r="AZ33" s="24">
        <v>6</v>
      </c>
      <c r="BA33" s="24">
        <v>5</v>
      </c>
      <c r="BB33" s="24">
        <v>39</v>
      </c>
      <c r="BC33" s="25"/>
      <c r="BD33" s="24"/>
      <c r="BE33" s="24"/>
      <c r="BF33" s="24"/>
      <c r="BG33" s="26">
        <f t="shared" si="6"/>
        <v>79.518072289156621</v>
      </c>
      <c r="BH33" s="26">
        <f t="shared" si="7"/>
        <v>20.481927710843372</v>
      </c>
      <c r="BI33" s="26">
        <f t="shared" si="8"/>
        <v>94.117647058823536</v>
      </c>
      <c r="BJ33" s="26">
        <f t="shared" si="9"/>
        <v>0</v>
      </c>
      <c r="BK33" s="26">
        <f t="shared" si="10"/>
        <v>0</v>
      </c>
      <c r="BL33" s="26">
        <f t="shared" si="11"/>
        <v>5.882352941176471</v>
      </c>
      <c r="BM33" s="26">
        <f t="shared" si="12"/>
        <v>98.484848484848484</v>
      </c>
      <c r="BN33" s="26">
        <f t="shared" si="13"/>
        <v>100</v>
      </c>
      <c r="BO33" s="26">
        <f t="shared" si="14"/>
        <v>100</v>
      </c>
      <c r="BP33" s="26">
        <f t="shared" si="15"/>
        <v>95.454545454545453</v>
      </c>
      <c r="BQ33" s="26">
        <f t="shared" si="16"/>
        <v>0</v>
      </c>
      <c r="BR33" s="26">
        <f t="shared" si="17"/>
        <v>74.242424242424249</v>
      </c>
      <c r="BS33" s="26">
        <f t="shared" si="18"/>
        <v>65.306122448979593</v>
      </c>
      <c r="BT33" s="26">
        <f t="shared" si="19"/>
        <v>30.303030303030305</v>
      </c>
      <c r="BU33" s="26">
        <f t="shared" si="20"/>
        <v>69.696969696969703</v>
      </c>
      <c r="BV33" s="26">
        <f t="shared" si="21"/>
        <v>0</v>
      </c>
      <c r="BW33" s="26">
        <f t="shared" si="21"/>
        <v>45.454545454545453</v>
      </c>
      <c r="BX33" s="26">
        <f t="shared" si="21"/>
        <v>39.393939393939391</v>
      </c>
      <c r="BY33" s="26">
        <f t="shared" si="22"/>
        <v>33.333333333333336</v>
      </c>
      <c r="BZ33" s="26">
        <f t="shared" si="23"/>
        <v>100</v>
      </c>
      <c r="CA33" s="26">
        <f t="shared" si="24"/>
        <v>66.666666666666671</v>
      </c>
      <c r="CB33" s="26">
        <f t="shared" si="25"/>
        <v>0</v>
      </c>
      <c r="CC33" s="26">
        <f t="shared" si="26"/>
        <v>42.424242424242422</v>
      </c>
      <c r="CD33" s="26">
        <f t="shared" si="27"/>
        <v>57.575757575757578</v>
      </c>
      <c r="CE33" s="26">
        <f t="shared" si="28"/>
        <v>100</v>
      </c>
      <c r="CF33" s="26">
        <f t="shared" si="29"/>
        <v>0</v>
      </c>
      <c r="CG33" s="26">
        <f t="shared" si="30"/>
        <v>100</v>
      </c>
      <c r="CH33" s="26">
        <f t="shared" si="31"/>
        <v>100</v>
      </c>
      <c r="CI33" s="26">
        <f t="shared" si="32"/>
        <v>100</v>
      </c>
      <c r="CJ33" s="26">
        <f t="shared" si="33"/>
        <v>68.441971383147859</v>
      </c>
      <c r="CK33" s="26">
        <f t="shared" si="34"/>
        <v>30.763116057233706</v>
      </c>
      <c r="CL33" s="26">
        <f t="shared" si="35"/>
        <v>62.121212121212125</v>
      </c>
      <c r="CM33" s="26"/>
      <c r="CN33" s="26">
        <f t="shared" si="36"/>
        <v>59.090909090909093</v>
      </c>
      <c r="CO33" s="26">
        <f t="shared" si="37"/>
        <v>87.878787878787875</v>
      </c>
      <c r="CP33" s="26">
        <f t="shared" si="38"/>
        <v>59.090909090909093</v>
      </c>
      <c r="CQ33" s="26">
        <f t="shared" si="39"/>
        <v>59.322033898305087</v>
      </c>
      <c r="CR33" s="26">
        <f t="shared" si="40"/>
        <v>40.909090909090907</v>
      </c>
      <c r="CS33" s="26">
        <f t="shared" si="41"/>
        <v>59.090909090909093</v>
      </c>
    </row>
    <row r="34" spans="1:97">
      <c r="A34" s="8" t="s">
        <v>180</v>
      </c>
      <c r="B34" s="8" t="s">
        <v>181</v>
      </c>
      <c r="C34" s="21" t="s">
        <v>145</v>
      </c>
      <c r="D34" s="9">
        <v>40</v>
      </c>
      <c r="E34" s="9">
        <v>40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40</v>
      </c>
      <c r="L34" s="9">
        <v>40</v>
      </c>
      <c r="M34" s="9">
        <v>40</v>
      </c>
      <c r="N34" s="9">
        <v>40</v>
      </c>
      <c r="O34" s="9">
        <v>40</v>
      </c>
      <c r="P34" s="9">
        <v>0</v>
      </c>
      <c r="Q34" s="9">
        <v>0</v>
      </c>
      <c r="R34" s="9">
        <v>40</v>
      </c>
      <c r="S34" s="9">
        <v>40</v>
      </c>
      <c r="T34" s="9">
        <v>6</v>
      </c>
      <c r="U34" s="9">
        <v>34</v>
      </c>
      <c r="V34" s="9">
        <v>0</v>
      </c>
      <c r="W34" s="9">
        <v>17</v>
      </c>
      <c r="X34" s="9">
        <v>17</v>
      </c>
      <c r="Y34" s="9">
        <v>5</v>
      </c>
      <c r="Z34" s="9">
        <v>40</v>
      </c>
      <c r="AA34" s="9">
        <v>35</v>
      </c>
      <c r="AB34" s="9">
        <v>0</v>
      </c>
      <c r="AC34" s="9">
        <v>4</v>
      </c>
      <c r="AD34" s="9">
        <v>36</v>
      </c>
      <c r="AE34" s="9">
        <v>40</v>
      </c>
      <c r="AF34" s="9">
        <v>0</v>
      </c>
      <c r="AG34" s="9">
        <v>40</v>
      </c>
      <c r="AH34" s="9">
        <v>40</v>
      </c>
      <c r="AI34" s="9">
        <v>40</v>
      </c>
      <c r="AJ34" s="9">
        <v>2770</v>
      </c>
      <c r="AK34" s="9">
        <v>1064</v>
      </c>
      <c r="AL34" s="9">
        <v>113</v>
      </c>
      <c r="AM34" s="9">
        <v>21</v>
      </c>
      <c r="AN34" s="9">
        <v>0</v>
      </c>
      <c r="AO34" s="9">
        <v>29</v>
      </c>
      <c r="AP34" s="9">
        <v>35</v>
      </c>
      <c r="AQ34" s="9">
        <v>29</v>
      </c>
      <c r="AR34" s="9">
        <v>33</v>
      </c>
      <c r="AS34" s="9">
        <v>7</v>
      </c>
      <c r="AT34" s="9">
        <v>15</v>
      </c>
      <c r="AU34" s="9">
        <v>25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25</v>
      </c>
      <c r="BC34" s="18"/>
      <c r="BD34" s="9"/>
      <c r="BE34" s="9"/>
      <c r="BF34" s="9"/>
      <c r="BG34" s="10">
        <f t="shared" si="6"/>
        <v>100</v>
      </c>
      <c r="BH34" s="10">
        <f t="shared" si="7"/>
        <v>0</v>
      </c>
      <c r="BI34" s="10" t="e">
        <f t="shared" si="8"/>
        <v>#DIV/0!</v>
      </c>
      <c r="BJ34" s="10" t="e">
        <f t="shared" si="9"/>
        <v>#DIV/0!</v>
      </c>
      <c r="BK34" s="10" t="e">
        <f t="shared" si="10"/>
        <v>#DIV/0!</v>
      </c>
      <c r="BL34" s="10" t="e">
        <f t="shared" si="11"/>
        <v>#DIV/0!</v>
      </c>
      <c r="BM34" s="10">
        <f t="shared" si="12"/>
        <v>100</v>
      </c>
      <c r="BN34" s="10">
        <f t="shared" si="13"/>
        <v>100</v>
      </c>
      <c r="BO34" s="10">
        <f t="shared" si="14"/>
        <v>100</v>
      </c>
      <c r="BP34" s="10">
        <f t="shared" si="15"/>
        <v>100</v>
      </c>
      <c r="BQ34" s="10">
        <f t="shared" si="16"/>
        <v>0</v>
      </c>
      <c r="BR34" s="10">
        <f t="shared" si="17"/>
        <v>100</v>
      </c>
      <c r="BS34" s="10">
        <f t="shared" si="18"/>
        <v>100</v>
      </c>
      <c r="BT34" s="10">
        <f t="shared" si="19"/>
        <v>15</v>
      </c>
      <c r="BU34" s="10">
        <f t="shared" si="20"/>
        <v>85</v>
      </c>
      <c r="BV34" s="10">
        <f t="shared" si="21"/>
        <v>0</v>
      </c>
      <c r="BW34" s="10">
        <f t="shared" si="21"/>
        <v>42.5</v>
      </c>
      <c r="BX34" s="10">
        <f t="shared" si="21"/>
        <v>42.5</v>
      </c>
      <c r="BY34" s="10">
        <f t="shared" si="22"/>
        <v>12.5</v>
      </c>
      <c r="BZ34" s="10">
        <f t="shared" si="23"/>
        <v>100</v>
      </c>
      <c r="CA34" s="10">
        <f t="shared" si="24"/>
        <v>87.5</v>
      </c>
      <c r="CB34" s="10">
        <f t="shared" si="25"/>
        <v>0</v>
      </c>
      <c r="CC34" s="10">
        <f t="shared" si="26"/>
        <v>10</v>
      </c>
      <c r="CD34" s="10">
        <f t="shared" si="27"/>
        <v>90</v>
      </c>
      <c r="CE34" s="10">
        <f t="shared" si="28"/>
        <v>100</v>
      </c>
      <c r="CF34" s="10">
        <f t="shared" si="29"/>
        <v>0</v>
      </c>
      <c r="CG34" s="10">
        <f t="shared" si="30"/>
        <v>100</v>
      </c>
      <c r="CH34" s="10">
        <f t="shared" si="31"/>
        <v>100</v>
      </c>
      <c r="CI34" s="10">
        <f t="shared" si="32"/>
        <v>100</v>
      </c>
      <c r="CJ34" s="10">
        <f t="shared" si="33"/>
        <v>38.411552346570396</v>
      </c>
      <c r="CK34" s="10">
        <f t="shared" si="34"/>
        <v>4.0794223826714804</v>
      </c>
      <c r="CL34" s="10">
        <f t="shared" si="35"/>
        <v>52.5</v>
      </c>
      <c r="CM34" s="10"/>
      <c r="CN34" s="10">
        <f t="shared" si="36"/>
        <v>72.5</v>
      </c>
      <c r="CO34" s="10">
        <f t="shared" si="37"/>
        <v>87.5</v>
      </c>
      <c r="CP34" s="10">
        <f t="shared" si="38"/>
        <v>72.5</v>
      </c>
      <c r="CQ34" s="10">
        <f t="shared" si="39"/>
        <v>82.5</v>
      </c>
      <c r="CR34" s="10">
        <f t="shared" si="40"/>
        <v>37.5</v>
      </c>
      <c r="CS34" s="10">
        <f t="shared" si="41"/>
        <v>62.5</v>
      </c>
    </row>
    <row r="35" spans="1:97">
      <c r="A35" s="22" t="s">
        <v>182</v>
      </c>
      <c r="B35" s="22"/>
      <c r="C35" s="23" t="s">
        <v>145</v>
      </c>
      <c r="D35" s="24">
        <v>40</v>
      </c>
      <c r="E35" s="24">
        <v>40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40</v>
      </c>
      <c r="L35" s="24">
        <v>40</v>
      </c>
      <c r="M35" s="24">
        <v>40</v>
      </c>
      <c r="N35" s="24">
        <v>40</v>
      </c>
      <c r="O35" s="24">
        <v>40</v>
      </c>
      <c r="P35" s="24">
        <v>0</v>
      </c>
      <c r="Q35" s="24">
        <v>0</v>
      </c>
      <c r="R35" s="24">
        <v>40</v>
      </c>
      <c r="S35" s="24">
        <v>40</v>
      </c>
      <c r="T35" s="24">
        <v>6</v>
      </c>
      <c r="U35" s="24">
        <v>34</v>
      </c>
      <c r="V35" s="24">
        <v>0</v>
      </c>
      <c r="W35" s="24">
        <v>17</v>
      </c>
      <c r="X35" s="24">
        <v>17</v>
      </c>
      <c r="Y35" s="24">
        <v>5</v>
      </c>
      <c r="Z35" s="24">
        <v>40</v>
      </c>
      <c r="AA35" s="24">
        <v>35</v>
      </c>
      <c r="AB35" s="24">
        <v>0</v>
      </c>
      <c r="AC35" s="24">
        <v>4</v>
      </c>
      <c r="AD35" s="24">
        <v>36</v>
      </c>
      <c r="AE35" s="24">
        <v>40</v>
      </c>
      <c r="AF35" s="24">
        <v>0</v>
      </c>
      <c r="AG35" s="24">
        <v>40</v>
      </c>
      <c r="AH35" s="24">
        <v>40</v>
      </c>
      <c r="AI35" s="24">
        <v>40</v>
      </c>
      <c r="AJ35" s="24">
        <v>2770</v>
      </c>
      <c r="AK35" s="24">
        <v>1064</v>
      </c>
      <c r="AL35" s="24">
        <v>113</v>
      </c>
      <c r="AM35" s="24">
        <v>21</v>
      </c>
      <c r="AN35" s="24">
        <v>0</v>
      </c>
      <c r="AO35" s="24">
        <v>29</v>
      </c>
      <c r="AP35" s="24">
        <v>35</v>
      </c>
      <c r="AQ35" s="24">
        <v>29</v>
      </c>
      <c r="AR35" s="24">
        <v>33</v>
      </c>
      <c r="AS35" s="24">
        <v>7</v>
      </c>
      <c r="AT35" s="24">
        <v>15</v>
      </c>
      <c r="AU35" s="24">
        <v>25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25</v>
      </c>
      <c r="BC35" s="25"/>
      <c r="BD35" s="24"/>
      <c r="BE35" s="24"/>
      <c r="BF35" s="24"/>
      <c r="BG35" s="26">
        <f t="shared" si="6"/>
        <v>100</v>
      </c>
      <c r="BH35" s="26">
        <f t="shared" si="7"/>
        <v>0</v>
      </c>
      <c r="BI35" s="26" t="e">
        <f t="shared" si="8"/>
        <v>#DIV/0!</v>
      </c>
      <c r="BJ35" s="26" t="e">
        <f t="shared" si="9"/>
        <v>#DIV/0!</v>
      </c>
      <c r="BK35" s="26" t="e">
        <f t="shared" si="10"/>
        <v>#DIV/0!</v>
      </c>
      <c r="BL35" s="26" t="e">
        <f t="shared" si="11"/>
        <v>#DIV/0!</v>
      </c>
      <c r="BM35" s="26">
        <f t="shared" si="12"/>
        <v>100</v>
      </c>
      <c r="BN35" s="26">
        <f t="shared" si="13"/>
        <v>100</v>
      </c>
      <c r="BO35" s="26">
        <f t="shared" si="14"/>
        <v>100</v>
      </c>
      <c r="BP35" s="26">
        <f t="shared" si="15"/>
        <v>100</v>
      </c>
      <c r="BQ35" s="26">
        <f t="shared" si="16"/>
        <v>0</v>
      </c>
      <c r="BR35" s="26">
        <f t="shared" si="17"/>
        <v>100</v>
      </c>
      <c r="BS35" s="26">
        <f t="shared" si="18"/>
        <v>100</v>
      </c>
      <c r="BT35" s="26">
        <f t="shared" si="19"/>
        <v>15</v>
      </c>
      <c r="BU35" s="26">
        <f t="shared" si="20"/>
        <v>85</v>
      </c>
      <c r="BV35" s="26">
        <f t="shared" si="21"/>
        <v>0</v>
      </c>
      <c r="BW35" s="26">
        <f t="shared" si="21"/>
        <v>42.5</v>
      </c>
      <c r="BX35" s="26">
        <f t="shared" si="21"/>
        <v>42.5</v>
      </c>
      <c r="BY35" s="26">
        <f t="shared" si="22"/>
        <v>12.5</v>
      </c>
      <c r="BZ35" s="26">
        <f t="shared" si="23"/>
        <v>100</v>
      </c>
      <c r="CA35" s="26">
        <f t="shared" si="24"/>
        <v>87.5</v>
      </c>
      <c r="CB35" s="26">
        <f t="shared" si="25"/>
        <v>0</v>
      </c>
      <c r="CC35" s="26">
        <f t="shared" si="26"/>
        <v>10</v>
      </c>
      <c r="CD35" s="26">
        <f t="shared" si="27"/>
        <v>90</v>
      </c>
      <c r="CE35" s="26">
        <f t="shared" si="28"/>
        <v>100</v>
      </c>
      <c r="CF35" s="26">
        <f t="shared" si="29"/>
        <v>0</v>
      </c>
      <c r="CG35" s="26">
        <f t="shared" si="30"/>
        <v>100</v>
      </c>
      <c r="CH35" s="26">
        <f t="shared" si="31"/>
        <v>100</v>
      </c>
      <c r="CI35" s="26">
        <f t="shared" si="32"/>
        <v>100</v>
      </c>
      <c r="CJ35" s="26">
        <f t="shared" si="33"/>
        <v>38.411552346570396</v>
      </c>
      <c r="CK35" s="26">
        <f t="shared" si="34"/>
        <v>4.0794223826714804</v>
      </c>
      <c r="CL35" s="26">
        <f t="shared" si="35"/>
        <v>52.5</v>
      </c>
      <c r="CM35" s="26"/>
      <c r="CN35" s="26">
        <f t="shared" si="36"/>
        <v>72.5</v>
      </c>
      <c r="CO35" s="26">
        <f t="shared" si="37"/>
        <v>87.5</v>
      </c>
      <c r="CP35" s="26">
        <f t="shared" si="38"/>
        <v>72.5</v>
      </c>
      <c r="CQ35" s="26">
        <f t="shared" si="39"/>
        <v>82.5</v>
      </c>
      <c r="CR35" s="26">
        <f t="shared" si="40"/>
        <v>37.5</v>
      </c>
      <c r="CS35" s="26">
        <f t="shared" si="41"/>
        <v>62.5</v>
      </c>
    </row>
    <row r="36" spans="1:97">
      <c r="A36" s="8" t="s">
        <v>183</v>
      </c>
      <c r="B36" s="8" t="s">
        <v>184</v>
      </c>
      <c r="C36" s="21" t="s">
        <v>145</v>
      </c>
      <c r="D36" s="9">
        <v>38</v>
      </c>
      <c r="E36" s="9">
        <v>33</v>
      </c>
      <c r="F36" s="9">
        <v>5</v>
      </c>
      <c r="G36" s="9">
        <v>2</v>
      </c>
      <c r="H36" s="9">
        <v>0</v>
      </c>
      <c r="I36" s="9">
        <v>0</v>
      </c>
      <c r="J36" s="9">
        <v>3</v>
      </c>
      <c r="K36" s="9">
        <v>33</v>
      </c>
      <c r="L36" s="9">
        <v>33</v>
      </c>
      <c r="M36" s="9">
        <v>33</v>
      </c>
      <c r="N36" s="9">
        <v>33</v>
      </c>
      <c r="O36" s="9">
        <v>33</v>
      </c>
      <c r="P36" s="9">
        <v>0</v>
      </c>
      <c r="Q36" s="9">
        <v>0</v>
      </c>
      <c r="R36" s="9">
        <v>32</v>
      </c>
      <c r="S36" s="9">
        <v>32</v>
      </c>
      <c r="T36" s="9">
        <v>6</v>
      </c>
      <c r="U36" s="9">
        <v>25</v>
      </c>
      <c r="V36" s="9">
        <v>2</v>
      </c>
      <c r="W36" s="9">
        <v>10</v>
      </c>
      <c r="X36" s="9">
        <v>8</v>
      </c>
      <c r="Y36" s="9">
        <v>12</v>
      </c>
      <c r="Z36" s="9">
        <v>33</v>
      </c>
      <c r="AA36" s="9">
        <v>21</v>
      </c>
      <c r="AB36" s="9">
        <v>0</v>
      </c>
      <c r="AC36" s="9">
        <v>12</v>
      </c>
      <c r="AD36" s="9">
        <v>21</v>
      </c>
      <c r="AE36" s="9">
        <v>33</v>
      </c>
      <c r="AF36" s="9">
        <v>0</v>
      </c>
      <c r="AG36" s="9">
        <v>33</v>
      </c>
      <c r="AH36" s="9">
        <v>33</v>
      </c>
      <c r="AI36" s="9">
        <v>33</v>
      </c>
      <c r="AJ36" s="9">
        <v>2234</v>
      </c>
      <c r="AK36" s="9">
        <v>871</v>
      </c>
      <c r="AL36" s="9">
        <v>433</v>
      </c>
      <c r="AM36" s="9">
        <v>26</v>
      </c>
      <c r="AN36" s="9">
        <v>4</v>
      </c>
      <c r="AO36" s="9">
        <v>4</v>
      </c>
      <c r="AP36" s="9">
        <v>19</v>
      </c>
      <c r="AQ36" s="9">
        <v>4</v>
      </c>
      <c r="AR36" s="9">
        <v>29</v>
      </c>
      <c r="AS36" s="9">
        <v>0</v>
      </c>
      <c r="AT36" s="9">
        <v>3</v>
      </c>
      <c r="AU36" s="9">
        <v>5</v>
      </c>
      <c r="AV36" s="9">
        <v>7</v>
      </c>
      <c r="AW36" s="9">
        <v>6</v>
      </c>
      <c r="AX36" s="9">
        <v>3</v>
      </c>
      <c r="AY36" s="9">
        <v>5</v>
      </c>
      <c r="AZ36" s="9">
        <v>1</v>
      </c>
      <c r="BA36" s="9">
        <v>3</v>
      </c>
      <c r="BB36" s="9">
        <v>30</v>
      </c>
      <c r="BC36" s="18"/>
      <c r="BD36" s="9"/>
      <c r="BE36" s="9"/>
      <c r="BF36" s="9"/>
      <c r="BG36" s="10">
        <f t="shared" si="6"/>
        <v>86.84210526315789</v>
      </c>
      <c r="BH36" s="10">
        <f t="shared" si="7"/>
        <v>13.157894736842104</v>
      </c>
      <c r="BI36" s="10">
        <f t="shared" si="8"/>
        <v>40</v>
      </c>
      <c r="BJ36" s="10">
        <f t="shared" si="9"/>
        <v>0</v>
      </c>
      <c r="BK36" s="10">
        <f t="shared" si="10"/>
        <v>0</v>
      </c>
      <c r="BL36" s="10">
        <f t="shared" si="11"/>
        <v>60</v>
      </c>
      <c r="BM36" s="10">
        <f t="shared" si="12"/>
        <v>100</v>
      </c>
      <c r="BN36" s="10">
        <f t="shared" si="13"/>
        <v>100</v>
      </c>
      <c r="BO36" s="10">
        <f t="shared" si="14"/>
        <v>100</v>
      </c>
      <c r="BP36" s="10">
        <f t="shared" si="15"/>
        <v>100</v>
      </c>
      <c r="BQ36" s="10">
        <f t="shared" si="16"/>
        <v>0</v>
      </c>
      <c r="BR36" s="10">
        <f t="shared" si="17"/>
        <v>96.969696969696969</v>
      </c>
      <c r="BS36" s="10">
        <f t="shared" si="18"/>
        <v>100</v>
      </c>
      <c r="BT36" s="10">
        <f t="shared" si="19"/>
        <v>18.181818181818183</v>
      </c>
      <c r="BU36" s="10">
        <f t="shared" si="20"/>
        <v>75.757575757575751</v>
      </c>
      <c r="BV36" s="10">
        <f t="shared" si="21"/>
        <v>6.0606060606060606</v>
      </c>
      <c r="BW36" s="10">
        <f t="shared" si="21"/>
        <v>30.303030303030305</v>
      </c>
      <c r="BX36" s="10">
        <f t="shared" si="21"/>
        <v>24.242424242424242</v>
      </c>
      <c r="BY36" s="10">
        <f t="shared" si="22"/>
        <v>36.363636363636367</v>
      </c>
      <c r="BZ36" s="10">
        <f t="shared" si="23"/>
        <v>100</v>
      </c>
      <c r="CA36" s="10">
        <f t="shared" si="24"/>
        <v>63.636363636363633</v>
      </c>
      <c r="CB36" s="10">
        <f t="shared" si="25"/>
        <v>0</v>
      </c>
      <c r="CC36" s="10">
        <f t="shared" si="26"/>
        <v>36.363636363636367</v>
      </c>
      <c r="CD36" s="10">
        <f t="shared" si="27"/>
        <v>63.636363636363633</v>
      </c>
      <c r="CE36" s="10">
        <f t="shared" si="28"/>
        <v>100</v>
      </c>
      <c r="CF36" s="10">
        <f t="shared" si="29"/>
        <v>0</v>
      </c>
      <c r="CG36" s="10">
        <f t="shared" si="30"/>
        <v>100</v>
      </c>
      <c r="CH36" s="10">
        <f t="shared" si="31"/>
        <v>100</v>
      </c>
      <c r="CI36" s="10">
        <f t="shared" si="32"/>
        <v>100</v>
      </c>
      <c r="CJ36" s="10">
        <f t="shared" si="33"/>
        <v>38.988361683079681</v>
      </c>
      <c r="CK36" s="10">
        <f t="shared" si="34"/>
        <v>19.382273948075202</v>
      </c>
      <c r="CL36" s="10">
        <f t="shared" si="35"/>
        <v>78.787878787878782</v>
      </c>
      <c r="CM36" s="10"/>
      <c r="CN36" s="10">
        <f t="shared" si="36"/>
        <v>12.121212121212121</v>
      </c>
      <c r="CO36" s="10">
        <f t="shared" si="37"/>
        <v>57.575757575757578</v>
      </c>
      <c r="CP36" s="10">
        <f t="shared" si="38"/>
        <v>12.121212121212121</v>
      </c>
      <c r="CQ36" s="10">
        <f t="shared" si="39"/>
        <v>100</v>
      </c>
      <c r="CR36" s="10">
        <f t="shared" si="40"/>
        <v>9.0909090909090917</v>
      </c>
      <c r="CS36" s="10">
        <f t="shared" si="41"/>
        <v>90.909090909090907</v>
      </c>
    </row>
    <row r="37" spans="1:97">
      <c r="A37" s="8" t="s">
        <v>183</v>
      </c>
      <c r="B37" s="8" t="s">
        <v>185</v>
      </c>
      <c r="C37" s="21" t="s">
        <v>145</v>
      </c>
      <c r="D37" s="9">
        <v>35</v>
      </c>
      <c r="E37" s="9">
        <v>29</v>
      </c>
      <c r="F37" s="9">
        <v>6</v>
      </c>
      <c r="G37" s="9">
        <v>3</v>
      </c>
      <c r="H37" s="9">
        <v>0</v>
      </c>
      <c r="I37" s="9">
        <v>0</v>
      </c>
      <c r="J37" s="9">
        <v>3</v>
      </c>
      <c r="K37" s="9">
        <v>24</v>
      </c>
      <c r="L37" s="9">
        <v>24</v>
      </c>
      <c r="M37" s="9">
        <v>24</v>
      </c>
      <c r="N37" s="9">
        <v>24</v>
      </c>
      <c r="O37" s="9">
        <v>24</v>
      </c>
      <c r="P37" s="9">
        <v>0</v>
      </c>
      <c r="Q37" s="9">
        <v>0</v>
      </c>
      <c r="R37" s="9">
        <v>12</v>
      </c>
      <c r="S37" s="9">
        <v>10</v>
      </c>
      <c r="T37" s="9">
        <v>11</v>
      </c>
      <c r="U37" s="9">
        <v>12</v>
      </c>
      <c r="V37" s="9">
        <v>1</v>
      </c>
      <c r="W37" s="9">
        <v>5</v>
      </c>
      <c r="X37" s="9">
        <v>3</v>
      </c>
      <c r="Y37" s="9">
        <v>6</v>
      </c>
      <c r="Z37" s="9">
        <v>23</v>
      </c>
      <c r="AA37" s="9">
        <v>17</v>
      </c>
      <c r="AB37" s="9">
        <v>1</v>
      </c>
      <c r="AC37" s="9">
        <v>6</v>
      </c>
      <c r="AD37" s="9">
        <v>12</v>
      </c>
      <c r="AE37" s="9">
        <v>18</v>
      </c>
      <c r="AF37" s="9">
        <v>6</v>
      </c>
      <c r="AG37" s="9">
        <v>24</v>
      </c>
      <c r="AH37" s="9">
        <v>24</v>
      </c>
      <c r="AI37" s="9">
        <v>24</v>
      </c>
      <c r="AJ37" s="9">
        <v>934</v>
      </c>
      <c r="AK37" s="9">
        <v>466</v>
      </c>
      <c r="AL37" s="9">
        <v>366</v>
      </c>
      <c r="AM37" s="9">
        <v>18</v>
      </c>
      <c r="AN37" s="9">
        <v>2</v>
      </c>
      <c r="AO37" s="9">
        <v>17</v>
      </c>
      <c r="AP37" s="9">
        <v>12</v>
      </c>
      <c r="AQ37" s="9">
        <v>17</v>
      </c>
      <c r="AR37" s="9">
        <v>8</v>
      </c>
      <c r="AS37" s="9">
        <v>12</v>
      </c>
      <c r="AT37" s="9">
        <v>4</v>
      </c>
      <c r="AU37" s="9">
        <v>7</v>
      </c>
      <c r="AV37" s="9">
        <v>3</v>
      </c>
      <c r="AW37" s="9">
        <v>1</v>
      </c>
      <c r="AX37" s="9">
        <v>3</v>
      </c>
      <c r="AY37" s="9">
        <v>3</v>
      </c>
      <c r="AZ37" s="9">
        <v>2</v>
      </c>
      <c r="BA37" s="9">
        <v>1</v>
      </c>
      <c r="BB37" s="9">
        <v>20</v>
      </c>
      <c r="BC37" s="18"/>
      <c r="BD37" s="9"/>
      <c r="BE37" s="9"/>
      <c r="BF37" s="9"/>
      <c r="BG37" s="10">
        <f t="shared" si="6"/>
        <v>82.857142857142861</v>
      </c>
      <c r="BH37" s="10">
        <f t="shared" si="7"/>
        <v>17.142857142857142</v>
      </c>
      <c r="BI37" s="10">
        <f t="shared" si="8"/>
        <v>50</v>
      </c>
      <c r="BJ37" s="10">
        <f t="shared" si="9"/>
        <v>0</v>
      </c>
      <c r="BK37" s="10">
        <f t="shared" si="10"/>
        <v>0</v>
      </c>
      <c r="BL37" s="10">
        <f t="shared" si="11"/>
        <v>50</v>
      </c>
      <c r="BM37" s="10">
        <f t="shared" si="12"/>
        <v>100</v>
      </c>
      <c r="BN37" s="10">
        <f t="shared" si="13"/>
        <v>100</v>
      </c>
      <c r="BO37" s="10">
        <f t="shared" si="14"/>
        <v>100</v>
      </c>
      <c r="BP37" s="10">
        <f t="shared" si="15"/>
        <v>100</v>
      </c>
      <c r="BQ37" s="10">
        <f t="shared" si="16"/>
        <v>0</v>
      </c>
      <c r="BR37" s="10">
        <f t="shared" si="17"/>
        <v>50</v>
      </c>
      <c r="BS37" s="10">
        <f t="shared" si="18"/>
        <v>83.333333333333329</v>
      </c>
      <c r="BT37" s="10">
        <f t="shared" si="19"/>
        <v>45.833333333333336</v>
      </c>
      <c r="BU37" s="10">
        <f t="shared" si="20"/>
        <v>50</v>
      </c>
      <c r="BV37" s="10">
        <f t="shared" si="21"/>
        <v>4.166666666666667</v>
      </c>
      <c r="BW37" s="10">
        <f t="shared" si="21"/>
        <v>20.833333333333332</v>
      </c>
      <c r="BX37" s="10">
        <f t="shared" si="21"/>
        <v>12.5</v>
      </c>
      <c r="BY37" s="10">
        <f t="shared" si="22"/>
        <v>25</v>
      </c>
      <c r="BZ37" s="10">
        <f t="shared" si="23"/>
        <v>95.833333333333329</v>
      </c>
      <c r="CA37" s="10">
        <f t="shared" si="24"/>
        <v>70.833333333333329</v>
      </c>
      <c r="CB37" s="10">
        <f t="shared" si="25"/>
        <v>4.166666666666667</v>
      </c>
      <c r="CC37" s="10">
        <f t="shared" si="26"/>
        <v>25</v>
      </c>
      <c r="CD37" s="10">
        <f t="shared" si="27"/>
        <v>50</v>
      </c>
      <c r="CE37" s="10">
        <f t="shared" si="28"/>
        <v>75</v>
      </c>
      <c r="CF37" s="10">
        <f t="shared" si="29"/>
        <v>25</v>
      </c>
      <c r="CG37" s="10">
        <f t="shared" si="30"/>
        <v>100</v>
      </c>
      <c r="CH37" s="10">
        <f t="shared" si="31"/>
        <v>100</v>
      </c>
      <c r="CI37" s="10">
        <f t="shared" si="32"/>
        <v>100</v>
      </c>
      <c r="CJ37" s="10">
        <f t="shared" si="33"/>
        <v>49.892933618843685</v>
      </c>
      <c r="CK37" s="10">
        <f t="shared" si="34"/>
        <v>39.186295503211994</v>
      </c>
      <c r="CL37" s="10">
        <f t="shared" si="35"/>
        <v>75</v>
      </c>
      <c r="CM37" s="10"/>
      <c r="CN37" s="10">
        <f t="shared" si="36"/>
        <v>70.833333333333329</v>
      </c>
      <c r="CO37" s="10">
        <f t="shared" si="37"/>
        <v>50</v>
      </c>
      <c r="CP37" s="10">
        <f t="shared" si="38"/>
        <v>70.833333333333329</v>
      </c>
      <c r="CQ37" s="10">
        <f t="shared" si="39"/>
        <v>40</v>
      </c>
      <c r="CR37" s="10">
        <f t="shared" si="40"/>
        <v>16.666666666666668</v>
      </c>
      <c r="CS37" s="10">
        <f t="shared" si="41"/>
        <v>83.333333333333329</v>
      </c>
    </row>
    <row r="38" spans="1:97">
      <c r="A38" s="8" t="s">
        <v>183</v>
      </c>
      <c r="B38" s="8" t="s">
        <v>186</v>
      </c>
      <c r="C38" s="21" t="s">
        <v>145</v>
      </c>
      <c r="D38" s="9">
        <v>40</v>
      </c>
      <c r="E38" s="9">
        <v>40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40</v>
      </c>
      <c r="L38" s="9">
        <v>40</v>
      </c>
      <c r="M38" s="9">
        <v>40</v>
      </c>
      <c r="N38" s="9">
        <v>40</v>
      </c>
      <c r="O38" s="9">
        <v>40</v>
      </c>
      <c r="P38" s="9">
        <v>0</v>
      </c>
      <c r="Q38" s="9">
        <v>0</v>
      </c>
      <c r="R38" s="9">
        <v>37</v>
      </c>
      <c r="S38" s="9">
        <v>26</v>
      </c>
      <c r="T38" s="9">
        <v>3</v>
      </c>
      <c r="U38" s="9">
        <v>37</v>
      </c>
      <c r="V38" s="9">
        <v>0</v>
      </c>
      <c r="W38" s="9">
        <v>8</v>
      </c>
      <c r="X38" s="9">
        <v>8</v>
      </c>
      <c r="Y38" s="9">
        <v>3</v>
      </c>
      <c r="Z38" s="9">
        <v>40</v>
      </c>
      <c r="AA38" s="9">
        <v>37</v>
      </c>
      <c r="AB38" s="9">
        <v>0</v>
      </c>
      <c r="AC38" s="9">
        <v>7</v>
      </c>
      <c r="AD38" s="9">
        <v>32</v>
      </c>
      <c r="AE38" s="9">
        <v>39</v>
      </c>
      <c r="AF38" s="9">
        <v>1</v>
      </c>
      <c r="AG38" s="9">
        <v>40</v>
      </c>
      <c r="AH38" s="9">
        <v>39</v>
      </c>
      <c r="AI38" s="9">
        <v>40</v>
      </c>
      <c r="AJ38" s="9">
        <v>2419</v>
      </c>
      <c r="AK38" s="9">
        <v>790</v>
      </c>
      <c r="AL38" s="9">
        <v>327</v>
      </c>
      <c r="AM38" s="9">
        <v>18</v>
      </c>
      <c r="AN38" s="9">
        <v>6</v>
      </c>
      <c r="AO38" s="9">
        <v>38</v>
      </c>
      <c r="AP38" s="9">
        <v>21</v>
      </c>
      <c r="AQ38" s="9">
        <v>38</v>
      </c>
      <c r="AR38" s="9">
        <v>31</v>
      </c>
      <c r="AS38" s="9">
        <v>4</v>
      </c>
      <c r="AT38" s="9">
        <v>1</v>
      </c>
      <c r="AU38" s="9">
        <v>5</v>
      </c>
      <c r="AV38" s="9">
        <v>3</v>
      </c>
      <c r="AW38" s="9">
        <v>7</v>
      </c>
      <c r="AX38" s="9">
        <v>7</v>
      </c>
      <c r="AY38" s="9">
        <v>1</v>
      </c>
      <c r="AZ38" s="9">
        <v>5</v>
      </c>
      <c r="BA38" s="9">
        <v>9</v>
      </c>
      <c r="BB38" s="9">
        <v>39</v>
      </c>
      <c r="BC38" s="18"/>
      <c r="BD38" s="9"/>
      <c r="BE38" s="9"/>
      <c r="BF38" s="9"/>
      <c r="BG38" s="10">
        <f t="shared" si="6"/>
        <v>100</v>
      </c>
      <c r="BH38" s="10">
        <f t="shared" si="7"/>
        <v>0</v>
      </c>
      <c r="BI38" s="10" t="e">
        <f t="shared" si="8"/>
        <v>#DIV/0!</v>
      </c>
      <c r="BJ38" s="10" t="e">
        <f t="shared" si="9"/>
        <v>#DIV/0!</v>
      </c>
      <c r="BK38" s="10" t="e">
        <f t="shared" si="10"/>
        <v>#DIV/0!</v>
      </c>
      <c r="BL38" s="10" t="e">
        <f t="shared" si="11"/>
        <v>#DIV/0!</v>
      </c>
      <c r="BM38" s="10">
        <f t="shared" si="12"/>
        <v>100</v>
      </c>
      <c r="BN38" s="10">
        <f t="shared" si="13"/>
        <v>100</v>
      </c>
      <c r="BO38" s="10">
        <f t="shared" si="14"/>
        <v>100</v>
      </c>
      <c r="BP38" s="10">
        <f t="shared" si="15"/>
        <v>100</v>
      </c>
      <c r="BQ38" s="10">
        <f t="shared" si="16"/>
        <v>0</v>
      </c>
      <c r="BR38" s="10">
        <f t="shared" si="17"/>
        <v>92.5</v>
      </c>
      <c r="BS38" s="10">
        <f t="shared" si="18"/>
        <v>70.270270270270274</v>
      </c>
      <c r="BT38" s="10">
        <f t="shared" si="19"/>
        <v>7.5</v>
      </c>
      <c r="BU38" s="10">
        <f t="shared" si="20"/>
        <v>92.5</v>
      </c>
      <c r="BV38" s="10">
        <f t="shared" si="21"/>
        <v>0</v>
      </c>
      <c r="BW38" s="10">
        <f t="shared" si="21"/>
        <v>20</v>
      </c>
      <c r="BX38" s="10">
        <f t="shared" si="21"/>
        <v>20</v>
      </c>
      <c r="BY38" s="10">
        <f t="shared" si="22"/>
        <v>7.5</v>
      </c>
      <c r="BZ38" s="10">
        <f t="shared" si="23"/>
        <v>100</v>
      </c>
      <c r="CA38" s="10">
        <f t="shared" si="24"/>
        <v>92.5</v>
      </c>
      <c r="CB38" s="10">
        <f t="shared" si="25"/>
        <v>0</v>
      </c>
      <c r="CC38" s="10">
        <f t="shared" si="26"/>
        <v>17.5</v>
      </c>
      <c r="CD38" s="10">
        <f t="shared" si="27"/>
        <v>80</v>
      </c>
      <c r="CE38" s="10">
        <f t="shared" si="28"/>
        <v>97.5</v>
      </c>
      <c r="CF38" s="10">
        <f t="shared" si="29"/>
        <v>2.5</v>
      </c>
      <c r="CG38" s="10">
        <f t="shared" si="30"/>
        <v>100</v>
      </c>
      <c r="CH38" s="10">
        <f t="shared" si="31"/>
        <v>97.5</v>
      </c>
      <c r="CI38" s="10">
        <f t="shared" si="32"/>
        <v>100</v>
      </c>
      <c r="CJ38" s="10">
        <f t="shared" si="33"/>
        <v>32.658123191401408</v>
      </c>
      <c r="CK38" s="10">
        <f t="shared" si="34"/>
        <v>13.517982637453493</v>
      </c>
      <c r="CL38" s="10">
        <f t="shared" si="35"/>
        <v>45</v>
      </c>
      <c r="CM38" s="10"/>
      <c r="CN38" s="10">
        <f t="shared" si="36"/>
        <v>95</v>
      </c>
      <c r="CO38" s="10">
        <f t="shared" si="37"/>
        <v>52.5</v>
      </c>
      <c r="CP38" s="10">
        <f t="shared" si="38"/>
        <v>95</v>
      </c>
      <c r="CQ38" s="10">
        <f t="shared" si="39"/>
        <v>88.571428571428569</v>
      </c>
      <c r="CR38" s="10">
        <f t="shared" si="40"/>
        <v>2.5</v>
      </c>
      <c r="CS38" s="10">
        <f t="shared" si="41"/>
        <v>97.5</v>
      </c>
    </row>
    <row r="39" spans="1:97">
      <c r="A39" s="8" t="s">
        <v>183</v>
      </c>
      <c r="B39" s="8" t="s">
        <v>187</v>
      </c>
      <c r="C39" s="21" t="s">
        <v>145</v>
      </c>
      <c r="D39" s="9">
        <v>36</v>
      </c>
      <c r="E39" s="9">
        <v>36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36</v>
      </c>
      <c r="L39" s="9">
        <v>36</v>
      </c>
      <c r="M39" s="9">
        <v>36</v>
      </c>
      <c r="N39" s="9">
        <v>36</v>
      </c>
      <c r="O39" s="9">
        <v>36</v>
      </c>
      <c r="P39" s="9">
        <v>0</v>
      </c>
      <c r="Q39" s="9">
        <v>0</v>
      </c>
      <c r="R39" s="9">
        <v>36</v>
      </c>
      <c r="S39" s="9">
        <v>26</v>
      </c>
      <c r="T39" s="9">
        <v>3</v>
      </c>
      <c r="U39" s="9">
        <v>33</v>
      </c>
      <c r="V39" s="9">
        <v>0</v>
      </c>
      <c r="W39" s="9">
        <v>3</v>
      </c>
      <c r="X39" s="9">
        <v>3</v>
      </c>
      <c r="Y39" s="9">
        <v>3</v>
      </c>
      <c r="Z39" s="9">
        <v>36</v>
      </c>
      <c r="AA39" s="9">
        <v>33</v>
      </c>
      <c r="AB39" s="9">
        <v>0</v>
      </c>
      <c r="AC39" s="9">
        <v>4</v>
      </c>
      <c r="AD39" s="9">
        <v>32</v>
      </c>
      <c r="AE39" s="9">
        <v>36</v>
      </c>
      <c r="AF39" s="9">
        <v>0</v>
      </c>
      <c r="AG39" s="9">
        <v>36</v>
      </c>
      <c r="AH39" s="9">
        <v>36</v>
      </c>
      <c r="AI39" s="9">
        <v>36</v>
      </c>
      <c r="AJ39" s="9">
        <v>2659</v>
      </c>
      <c r="AK39" s="9">
        <v>1240</v>
      </c>
      <c r="AL39" s="9">
        <v>201</v>
      </c>
      <c r="AM39" s="9">
        <v>14</v>
      </c>
      <c r="AN39" s="9">
        <v>2</v>
      </c>
      <c r="AO39" s="9">
        <v>33</v>
      </c>
      <c r="AP39" s="9">
        <v>32</v>
      </c>
      <c r="AQ39" s="9">
        <v>33</v>
      </c>
      <c r="AR39" s="9">
        <v>29</v>
      </c>
      <c r="AS39" s="9">
        <v>3</v>
      </c>
      <c r="AT39" s="9">
        <v>4</v>
      </c>
      <c r="AU39" s="9">
        <v>5</v>
      </c>
      <c r="AV39" s="9">
        <v>7</v>
      </c>
      <c r="AW39" s="9">
        <v>5</v>
      </c>
      <c r="AX39" s="9">
        <v>2</v>
      </c>
      <c r="AY39" s="9">
        <v>7</v>
      </c>
      <c r="AZ39" s="9">
        <v>4</v>
      </c>
      <c r="BA39" s="9">
        <v>2</v>
      </c>
      <c r="BB39" s="9">
        <v>32</v>
      </c>
      <c r="BC39" s="18"/>
      <c r="BD39" s="9"/>
      <c r="BE39" s="9"/>
      <c r="BF39" s="9"/>
      <c r="BG39" s="10">
        <f t="shared" si="6"/>
        <v>100</v>
      </c>
      <c r="BH39" s="10">
        <f t="shared" si="7"/>
        <v>0</v>
      </c>
      <c r="BI39" s="10" t="e">
        <f t="shared" si="8"/>
        <v>#DIV/0!</v>
      </c>
      <c r="BJ39" s="10" t="e">
        <f t="shared" si="9"/>
        <v>#DIV/0!</v>
      </c>
      <c r="BK39" s="10" t="e">
        <f t="shared" si="10"/>
        <v>#DIV/0!</v>
      </c>
      <c r="BL39" s="10" t="e">
        <f t="shared" si="11"/>
        <v>#DIV/0!</v>
      </c>
      <c r="BM39" s="10">
        <f t="shared" si="12"/>
        <v>100</v>
      </c>
      <c r="BN39" s="10">
        <f t="shared" si="13"/>
        <v>100</v>
      </c>
      <c r="BO39" s="10">
        <f t="shared" si="14"/>
        <v>100</v>
      </c>
      <c r="BP39" s="10">
        <f t="shared" si="15"/>
        <v>100</v>
      </c>
      <c r="BQ39" s="10">
        <f t="shared" si="16"/>
        <v>0</v>
      </c>
      <c r="BR39" s="10">
        <f t="shared" si="17"/>
        <v>100</v>
      </c>
      <c r="BS39" s="10">
        <f t="shared" si="18"/>
        <v>72.222222222222229</v>
      </c>
      <c r="BT39" s="10">
        <f t="shared" si="19"/>
        <v>8.3333333333333339</v>
      </c>
      <c r="BU39" s="10">
        <f t="shared" si="20"/>
        <v>91.666666666666671</v>
      </c>
      <c r="BV39" s="10">
        <f t="shared" si="21"/>
        <v>0</v>
      </c>
      <c r="BW39" s="10">
        <f t="shared" si="21"/>
        <v>8.3333333333333339</v>
      </c>
      <c r="BX39" s="10">
        <f t="shared" si="21"/>
        <v>8.3333333333333339</v>
      </c>
      <c r="BY39" s="10">
        <f t="shared" si="22"/>
        <v>8.3333333333333339</v>
      </c>
      <c r="BZ39" s="10">
        <f t="shared" si="23"/>
        <v>100</v>
      </c>
      <c r="CA39" s="10">
        <f t="shared" si="24"/>
        <v>91.666666666666671</v>
      </c>
      <c r="CB39" s="10">
        <f t="shared" si="25"/>
        <v>0</v>
      </c>
      <c r="CC39" s="10">
        <f t="shared" si="26"/>
        <v>11.111111111111111</v>
      </c>
      <c r="CD39" s="10">
        <f t="shared" si="27"/>
        <v>88.888888888888886</v>
      </c>
      <c r="CE39" s="10">
        <f t="shared" si="28"/>
        <v>100</v>
      </c>
      <c r="CF39" s="10">
        <f t="shared" si="29"/>
        <v>0</v>
      </c>
      <c r="CG39" s="10">
        <f t="shared" si="30"/>
        <v>100</v>
      </c>
      <c r="CH39" s="10">
        <f t="shared" si="31"/>
        <v>100</v>
      </c>
      <c r="CI39" s="10">
        <f t="shared" si="32"/>
        <v>100</v>
      </c>
      <c r="CJ39" s="10">
        <f t="shared" si="33"/>
        <v>46.634072959759308</v>
      </c>
      <c r="CK39" s="10">
        <f t="shared" si="34"/>
        <v>7.5592327942835649</v>
      </c>
      <c r="CL39" s="10">
        <f t="shared" si="35"/>
        <v>38.888888888888886</v>
      </c>
      <c r="CM39" s="10"/>
      <c r="CN39" s="10">
        <f t="shared" si="36"/>
        <v>91.666666666666671</v>
      </c>
      <c r="CO39" s="10">
        <f t="shared" si="37"/>
        <v>88.888888888888886</v>
      </c>
      <c r="CP39" s="10">
        <f t="shared" si="38"/>
        <v>91.666666666666671</v>
      </c>
      <c r="CQ39" s="10">
        <f t="shared" si="39"/>
        <v>90.625</v>
      </c>
      <c r="CR39" s="10">
        <f t="shared" si="40"/>
        <v>11.111111111111111</v>
      </c>
      <c r="CS39" s="10">
        <f t="shared" si="41"/>
        <v>88.888888888888886</v>
      </c>
    </row>
    <row r="40" spans="1:97">
      <c r="A40" s="22" t="s">
        <v>188</v>
      </c>
      <c r="B40" s="22"/>
      <c r="C40" s="23" t="s">
        <v>145</v>
      </c>
      <c r="D40" s="24">
        <v>149</v>
      </c>
      <c r="E40" s="24">
        <v>138</v>
      </c>
      <c r="F40" s="24">
        <v>11</v>
      </c>
      <c r="G40" s="24">
        <v>5</v>
      </c>
      <c r="H40" s="24">
        <v>0</v>
      </c>
      <c r="I40" s="24">
        <v>0</v>
      </c>
      <c r="J40" s="24">
        <v>6</v>
      </c>
      <c r="K40" s="24">
        <v>133</v>
      </c>
      <c r="L40" s="24">
        <v>133</v>
      </c>
      <c r="M40" s="24">
        <v>133</v>
      </c>
      <c r="N40" s="24">
        <v>133</v>
      </c>
      <c r="O40" s="24">
        <v>133</v>
      </c>
      <c r="P40" s="24">
        <v>0</v>
      </c>
      <c r="Q40" s="24">
        <v>0</v>
      </c>
      <c r="R40" s="24">
        <v>117</v>
      </c>
      <c r="S40" s="24">
        <v>94</v>
      </c>
      <c r="T40" s="24">
        <v>23</v>
      </c>
      <c r="U40" s="24">
        <v>107</v>
      </c>
      <c r="V40" s="24">
        <v>3</v>
      </c>
      <c r="W40" s="24">
        <v>26</v>
      </c>
      <c r="X40" s="24">
        <v>22</v>
      </c>
      <c r="Y40" s="24">
        <v>24</v>
      </c>
      <c r="Z40" s="24">
        <v>132</v>
      </c>
      <c r="AA40" s="24">
        <v>108</v>
      </c>
      <c r="AB40" s="24">
        <v>1</v>
      </c>
      <c r="AC40" s="24">
        <v>29</v>
      </c>
      <c r="AD40" s="24">
        <v>97</v>
      </c>
      <c r="AE40" s="24">
        <v>126</v>
      </c>
      <c r="AF40" s="24">
        <v>7</v>
      </c>
      <c r="AG40" s="24">
        <v>133</v>
      </c>
      <c r="AH40" s="24">
        <v>132</v>
      </c>
      <c r="AI40" s="24">
        <v>133</v>
      </c>
      <c r="AJ40" s="24">
        <v>8246</v>
      </c>
      <c r="AK40" s="24">
        <v>3367</v>
      </c>
      <c r="AL40" s="24">
        <v>1327</v>
      </c>
      <c r="AM40" s="24">
        <v>76</v>
      </c>
      <c r="AN40" s="24">
        <v>14</v>
      </c>
      <c r="AO40" s="24">
        <v>92</v>
      </c>
      <c r="AP40" s="24">
        <v>84</v>
      </c>
      <c r="AQ40" s="24">
        <v>92</v>
      </c>
      <c r="AR40" s="24">
        <v>97</v>
      </c>
      <c r="AS40" s="24">
        <v>19</v>
      </c>
      <c r="AT40" s="24">
        <v>12</v>
      </c>
      <c r="AU40" s="24">
        <v>22</v>
      </c>
      <c r="AV40" s="24">
        <v>20</v>
      </c>
      <c r="AW40" s="24">
        <v>19</v>
      </c>
      <c r="AX40" s="24">
        <v>15</v>
      </c>
      <c r="AY40" s="24">
        <v>16</v>
      </c>
      <c r="AZ40" s="24">
        <v>12</v>
      </c>
      <c r="BA40" s="24">
        <v>15</v>
      </c>
      <c r="BB40" s="24">
        <v>121</v>
      </c>
      <c r="BC40" s="25"/>
      <c r="BD40" s="24"/>
      <c r="BE40" s="24"/>
      <c r="BF40" s="24"/>
      <c r="BG40" s="26">
        <f t="shared" si="6"/>
        <v>92.617449664429529</v>
      </c>
      <c r="BH40" s="26">
        <f t="shared" si="7"/>
        <v>7.3825503355704694</v>
      </c>
      <c r="BI40" s="26">
        <f t="shared" si="8"/>
        <v>45.454545454545453</v>
      </c>
      <c r="BJ40" s="26">
        <f t="shared" si="9"/>
        <v>0</v>
      </c>
      <c r="BK40" s="26">
        <f t="shared" si="10"/>
        <v>0</v>
      </c>
      <c r="BL40" s="26">
        <f t="shared" si="11"/>
        <v>54.545454545454547</v>
      </c>
      <c r="BM40" s="26">
        <f t="shared" si="12"/>
        <v>100</v>
      </c>
      <c r="BN40" s="26">
        <f t="shared" si="13"/>
        <v>100</v>
      </c>
      <c r="BO40" s="26">
        <f t="shared" si="14"/>
        <v>100</v>
      </c>
      <c r="BP40" s="26">
        <f t="shared" si="15"/>
        <v>100</v>
      </c>
      <c r="BQ40" s="26">
        <f t="shared" si="16"/>
        <v>0</v>
      </c>
      <c r="BR40" s="26">
        <f t="shared" si="17"/>
        <v>87.969924812030072</v>
      </c>
      <c r="BS40" s="26">
        <f t="shared" si="18"/>
        <v>80.341880341880341</v>
      </c>
      <c r="BT40" s="26">
        <f t="shared" si="19"/>
        <v>17.293233082706767</v>
      </c>
      <c r="BU40" s="26">
        <f t="shared" si="20"/>
        <v>80.451127819548873</v>
      </c>
      <c r="BV40" s="26">
        <f t="shared" si="21"/>
        <v>2.255639097744361</v>
      </c>
      <c r="BW40" s="26">
        <f t="shared" si="21"/>
        <v>19.548872180451127</v>
      </c>
      <c r="BX40" s="26">
        <f t="shared" si="21"/>
        <v>16.541353383458645</v>
      </c>
      <c r="BY40" s="26">
        <f t="shared" si="22"/>
        <v>18.045112781954888</v>
      </c>
      <c r="BZ40" s="26">
        <f t="shared" si="23"/>
        <v>99.248120300751879</v>
      </c>
      <c r="CA40" s="26">
        <f t="shared" si="24"/>
        <v>81.203007518796994</v>
      </c>
      <c r="CB40" s="26">
        <f t="shared" si="25"/>
        <v>0.75187969924812026</v>
      </c>
      <c r="CC40" s="26">
        <f t="shared" si="26"/>
        <v>21.804511278195488</v>
      </c>
      <c r="CD40" s="26">
        <f t="shared" si="27"/>
        <v>72.932330827067673</v>
      </c>
      <c r="CE40" s="26">
        <f t="shared" si="28"/>
        <v>94.736842105263165</v>
      </c>
      <c r="CF40" s="26">
        <f t="shared" si="29"/>
        <v>5.2631578947368425</v>
      </c>
      <c r="CG40" s="26">
        <f t="shared" si="30"/>
        <v>100</v>
      </c>
      <c r="CH40" s="26">
        <f t="shared" si="31"/>
        <v>99.248120300751879</v>
      </c>
      <c r="CI40" s="26">
        <f t="shared" si="32"/>
        <v>100</v>
      </c>
      <c r="CJ40" s="26">
        <f t="shared" si="33"/>
        <v>40.831918505942276</v>
      </c>
      <c r="CK40" s="26">
        <f t="shared" si="34"/>
        <v>16.092650982294447</v>
      </c>
      <c r="CL40" s="26">
        <f t="shared" si="35"/>
        <v>57.142857142857146</v>
      </c>
      <c r="CM40" s="26"/>
      <c r="CN40" s="26">
        <f t="shared" si="36"/>
        <v>69.172932330827066</v>
      </c>
      <c r="CO40" s="26">
        <f t="shared" si="37"/>
        <v>63.157894736842103</v>
      </c>
      <c r="CP40" s="26">
        <f t="shared" si="38"/>
        <v>69.172932330827066</v>
      </c>
      <c r="CQ40" s="26">
        <f t="shared" si="39"/>
        <v>83.620689655172413</v>
      </c>
      <c r="CR40" s="26">
        <f t="shared" si="40"/>
        <v>9.022556390977444</v>
      </c>
      <c r="CS40" s="26">
        <f t="shared" si="41"/>
        <v>90.977443609022558</v>
      </c>
    </row>
    <row r="41" spans="1:97">
      <c r="A41" s="8" t="s">
        <v>189</v>
      </c>
      <c r="B41" s="8" t="s">
        <v>190</v>
      </c>
      <c r="C41" s="21" t="s">
        <v>145</v>
      </c>
      <c r="D41" s="9">
        <v>38</v>
      </c>
      <c r="E41" s="9">
        <v>37</v>
      </c>
      <c r="F41" s="9">
        <v>1</v>
      </c>
      <c r="G41" s="9">
        <v>1</v>
      </c>
      <c r="H41" s="9">
        <v>0</v>
      </c>
      <c r="I41" s="9">
        <v>0</v>
      </c>
      <c r="J41" s="9">
        <v>0</v>
      </c>
      <c r="K41" s="9">
        <v>37</v>
      </c>
      <c r="L41" s="9">
        <v>37</v>
      </c>
      <c r="M41" s="9">
        <v>35</v>
      </c>
      <c r="N41" s="9">
        <v>36</v>
      </c>
      <c r="O41" s="9">
        <v>24</v>
      </c>
      <c r="P41" s="9">
        <v>0</v>
      </c>
      <c r="Q41" s="9">
        <v>0</v>
      </c>
      <c r="R41" s="9">
        <v>20</v>
      </c>
      <c r="S41" s="9">
        <v>20</v>
      </c>
      <c r="T41" s="9">
        <v>28</v>
      </c>
      <c r="U41" s="9">
        <v>6</v>
      </c>
      <c r="V41" s="9">
        <v>3</v>
      </c>
      <c r="W41" s="9">
        <v>25</v>
      </c>
      <c r="X41" s="9">
        <v>20</v>
      </c>
      <c r="Y41" s="9">
        <v>24</v>
      </c>
      <c r="Z41" s="9">
        <v>37</v>
      </c>
      <c r="AA41" s="9">
        <v>13</v>
      </c>
      <c r="AB41" s="9">
        <v>0</v>
      </c>
      <c r="AC41" s="9">
        <v>30</v>
      </c>
      <c r="AD41" s="9">
        <v>7</v>
      </c>
      <c r="AE41" s="9">
        <v>37</v>
      </c>
      <c r="AF41" s="9">
        <v>0</v>
      </c>
      <c r="AG41" s="9">
        <v>37</v>
      </c>
      <c r="AH41" s="9">
        <v>37</v>
      </c>
      <c r="AI41" s="9">
        <v>37</v>
      </c>
      <c r="AJ41" s="9">
        <v>1510</v>
      </c>
      <c r="AK41" s="9">
        <v>1246</v>
      </c>
      <c r="AL41" s="9">
        <v>243</v>
      </c>
      <c r="AM41" s="9">
        <v>23</v>
      </c>
      <c r="AN41" s="9">
        <v>0</v>
      </c>
      <c r="AO41" s="9">
        <v>27</v>
      </c>
      <c r="AP41" s="9">
        <v>14</v>
      </c>
      <c r="AQ41" s="9">
        <v>27</v>
      </c>
      <c r="AR41" s="9">
        <v>33</v>
      </c>
      <c r="AS41" s="9">
        <v>4</v>
      </c>
      <c r="AT41" s="9">
        <v>0</v>
      </c>
      <c r="AU41" s="9">
        <v>3</v>
      </c>
      <c r="AV41" s="9">
        <v>23</v>
      </c>
      <c r="AW41" s="9">
        <v>10</v>
      </c>
      <c r="AX41" s="9">
        <v>1</v>
      </c>
      <c r="AY41" s="9">
        <v>0</v>
      </c>
      <c r="AZ41" s="9">
        <v>0</v>
      </c>
      <c r="BA41" s="9">
        <v>0</v>
      </c>
      <c r="BB41" s="9">
        <v>37</v>
      </c>
      <c r="BC41" s="18"/>
      <c r="BD41" s="9"/>
      <c r="BE41" s="9"/>
      <c r="BF41" s="9"/>
      <c r="BG41" s="10">
        <f t="shared" si="6"/>
        <v>97.368421052631575</v>
      </c>
      <c r="BH41" s="10">
        <f t="shared" si="7"/>
        <v>2.6315789473684212</v>
      </c>
      <c r="BI41" s="10">
        <f t="shared" si="8"/>
        <v>100</v>
      </c>
      <c r="BJ41" s="10">
        <f t="shared" si="9"/>
        <v>0</v>
      </c>
      <c r="BK41" s="10">
        <f t="shared" si="10"/>
        <v>0</v>
      </c>
      <c r="BL41" s="10">
        <f t="shared" si="11"/>
        <v>0</v>
      </c>
      <c r="BM41" s="10">
        <f t="shared" si="12"/>
        <v>100</v>
      </c>
      <c r="BN41" s="10">
        <f t="shared" si="13"/>
        <v>94.594594594594597</v>
      </c>
      <c r="BO41" s="10">
        <f t="shared" si="14"/>
        <v>97.297297297297291</v>
      </c>
      <c r="BP41" s="10">
        <f t="shared" si="15"/>
        <v>64.86486486486487</v>
      </c>
      <c r="BQ41" s="10">
        <f t="shared" si="16"/>
        <v>0</v>
      </c>
      <c r="BR41" s="10">
        <f t="shared" si="17"/>
        <v>54.054054054054056</v>
      </c>
      <c r="BS41" s="10">
        <f t="shared" si="18"/>
        <v>100</v>
      </c>
      <c r="BT41" s="10">
        <f t="shared" si="19"/>
        <v>75.675675675675677</v>
      </c>
      <c r="BU41" s="10">
        <f t="shared" si="20"/>
        <v>16.216216216216218</v>
      </c>
      <c r="BV41" s="10">
        <f t="shared" si="21"/>
        <v>8.1081081081081088</v>
      </c>
      <c r="BW41" s="10">
        <f t="shared" si="21"/>
        <v>67.567567567567565</v>
      </c>
      <c r="BX41" s="10">
        <f t="shared" si="21"/>
        <v>54.054054054054056</v>
      </c>
      <c r="BY41" s="10">
        <f t="shared" si="22"/>
        <v>64.86486486486487</v>
      </c>
      <c r="BZ41" s="10">
        <f t="shared" si="23"/>
        <v>100</v>
      </c>
      <c r="CA41" s="10">
        <f t="shared" si="24"/>
        <v>35.135135135135137</v>
      </c>
      <c r="CB41" s="10">
        <f t="shared" si="25"/>
        <v>0</v>
      </c>
      <c r="CC41" s="10">
        <f t="shared" si="26"/>
        <v>81.081081081081081</v>
      </c>
      <c r="CD41" s="10">
        <f t="shared" si="27"/>
        <v>18.918918918918919</v>
      </c>
      <c r="CE41" s="10">
        <f t="shared" si="28"/>
        <v>100</v>
      </c>
      <c r="CF41" s="10">
        <f t="shared" si="29"/>
        <v>0</v>
      </c>
      <c r="CG41" s="10">
        <f t="shared" si="30"/>
        <v>100</v>
      </c>
      <c r="CH41" s="10">
        <f t="shared" si="31"/>
        <v>100</v>
      </c>
      <c r="CI41" s="10">
        <f t="shared" si="32"/>
        <v>100</v>
      </c>
      <c r="CJ41" s="10">
        <f t="shared" si="33"/>
        <v>82.516556291390728</v>
      </c>
      <c r="CK41" s="10">
        <f t="shared" si="34"/>
        <v>16.09271523178808</v>
      </c>
      <c r="CL41" s="10">
        <f t="shared" si="35"/>
        <v>62.162162162162161</v>
      </c>
      <c r="CM41" s="10"/>
      <c r="CN41" s="10">
        <f t="shared" si="36"/>
        <v>72.972972972972968</v>
      </c>
      <c r="CO41" s="10">
        <f t="shared" si="37"/>
        <v>37.837837837837839</v>
      </c>
      <c r="CP41" s="10">
        <f t="shared" si="38"/>
        <v>72.972972972972968</v>
      </c>
      <c r="CQ41" s="10">
        <f t="shared" si="39"/>
        <v>89.189189189189193</v>
      </c>
      <c r="CR41" s="10">
        <f t="shared" si="40"/>
        <v>0</v>
      </c>
      <c r="CS41" s="10">
        <f t="shared" si="41"/>
        <v>100</v>
      </c>
    </row>
    <row r="42" spans="1:97">
      <c r="A42" s="8" t="s">
        <v>189</v>
      </c>
      <c r="B42" s="8" t="s">
        <v>191</v>
      </c>
      <c r="C42" s="21" t="s">
        <v>145</v>
      </c>
      <c r="D42" s="9">
        <v>32</v>
      </c>
      <c r="E42" s="9">
        <v>25</v>
      </c>
      <c r="F42" s="9">
        <v>7</v>
      </c>
      <c r="G42" s="9">
        <v>7</v>
      </c>
      <c r="H42" s="9">
        <v>0</v>
      </c>
      <c r="I42" s="9">
        <v>0</v>
      </c>
      <c r="J42" s="9">
        <v>0</v>
      </c>
      <c r="K42" s="9">
        <v>25</v>
      </c>
      <c r="L42" s="9">
        <v>25</v>
      </c>
      <c r="M42" s="9">
        <v>25</v>
      </c>
      <c r="N42" s="9">
        <v>25</v>
      </c>
      <c r="O42" s="9">
        <v>25</v>
      </c>
      <c r="P42" s="9">
        <v>0</v>
      </c>
      <c r="Q42" s="9">
        <v>0</v>
      </c>
      <c r="R42" s="9">
        <v>14</v>
      </c>
      <c r="S42" s="9">
        <v>11</v>
      </c>
      <c r="T42" s="9">
        <v>8</v>
      </c>
      <c r="U42" s="9">
        <v>8</v>
      </c>
      <c r="V42" s="9">
        <v>9</v>
      </c>
      <c r="W42" s="9">
        <v>3</v>
      </c>
      <c r="X42" s="9">
        <v>3</v>
      </c>
      <c r="Y42" s="9">
        <v>11</v>
      </c>
      <c r="Z42" s="9">
        <v>23</v>
      </c>
      <c r="AA42" s="9">
        <v>12</v>
      </c>
      <c r="AB42" s="9">
        <v>2</v>
      </c>
      <c r="AC42" s="9">
        <v>10</v>
      </c>
      <c r="AD42" s="9">
        <v>14</v>
      </c>
      <c r="AE42" s="9">
        <v>24</v>
      </c>
      <c r="AF42" s="9">
        <v>1</v>
      </c>
      <c r="AG42" s="9">
        <v>25</v>
      </c>
      <c r="AH42" s="9">
        <v>25</v>
      </c>
      <c r="AI42" s="9">
        <v>25</v>
      </c>
      <c r="AJ42" s="9">
        <v>1550</v>
      </c>
      <c r="AK42" s="9">
        <v>685</v>
      </c>
      <c r="AL42" s="9">
        <v>799</v>
      </c>
      <c r="AM42" s="9">
        <v>25</v>
      </c>
      <c r="AN42" s="9">
        <v>3</v>
      </c>
      <c r="AO42" s="9">
        <v>25</v>
      </c>
      <c r="AP42" s="9">
        <v>17</v>
      </c>
      <c r="AQ42" s="9">
        <v>25</v>
      </c>
      <c r="AR42" s="9">
        <v>17</v>
      </c>
      <c r="AS42" s="9">
        <v>5</v>
      </c>
      <c r="AT42" s="9">
        <v>3</v>
      </c>
      <c r="AU42" s="9">
        <v>0</v>
      </c>
      <c r="AV42" s="9">
        <v>2</v>
      </c>
      <c r="AW42" s="9">
        <v>2</v>
      </c>
      <c r="AX42" s="9">
        <v>0</v>
      </c>
      <c r="AY42" s="9">
        <v>5</v>
      </c>
      <c r="AZ42" s="9">
        <v>3</v>
      </c>
      <c r="BA42" s="9">
        <v>10</v>
      </c>
      <c r="BB42" s="9">
        <v>22</v>
      </c>
      <c r="BC42" s="18"/>
      <c r="BD42" s="9"/>
      <c r="BE42" s="9"/>
      <c r="BF42" s="9"/>
      <c r="BG42" s="10">
        <f t="shared" si="6"/>
        <v>78.125</v>
      </c>
      <c r="BH42" s="10">
        <f t="shared" si="7"/>
        <v>21.875</v>
      </c>
      <c r="BI42" s="10">
        <f t="shared" si="8"/>
        <v>100</v>
      </c>
      <c r="BJ42" s="10">
        <f t="shared" si="9"/>
        <v>0</v>
      </c>
      <c r="BK42" s="10">
        <f t="shared" si="10"/>
        <v>0</v>
      </c>
      <c r="BL42" s="10">
        <f t="shared" si="11"/>
        <v>0</v>
      </c>
      <c r="BM42" s="10">
        <f t="shared" si="12"/>
        <v>100</v>
      </c>
      <c r="BN42" s="10">
        <f t="shared" si="13"/>
        <v>100</v>
      </c>
      <c r="BO42" s="10">
        <f t="shared" si="14"/>
        <v>100</v>
      </c>
      <c r="BP42" s="10">
        <f t="shared" si="15"/>
        <v>100</v>
      </c>
      <c r="BQ42" s="10">
        <f t="shared" si="16"/>
        <v>0</v>
      </c>
      <c r="BR42" s="10">
        <f t="shared" si="17"/>
        <v>56</v>
      </c>
      <c r="BS42" s="10">
        <f t="shared" si="18"/>
        <v>78.571428571428569</v>
      </c>
      <c r="BT42" s="10">
        <f t="shared" si="19"/>
        <v>32</v>
      </c>
      <c r="BU42" s="10">
        <f t="shared" si="20"/>
        <v>32</v>
      </c>
      <c r="BV42" s="10">
        <f t="shared" si="21"/>
        <v>36</v>
      </c>
      <c r="BW42" s="10">
        <f t="shared" si="21"/>
        <v>12</v>
      </c>
      <c r="BX42" s="10">
        <f t="shared" si="21"/>
        <v>12</v>
      </c>
      <c r="BY42" s="10">
        <f t="shared" si="22"/>
        <v>44</v>
      </c>
      <c r="BZ42" s="10">
        <f t="shared" si="23"/>
        <v>92</v>
      </c>
      <c r="CA42" s="10">
        <f t="shared" si="24"/>
        <v>48</v>
      </c>
      <c r="CB42" s="10">
        <f t="shared" si="25"/>
        <v>8</v>
      </c>
      <c r="CC42" s="10">
        <f t="shared" si="26"/>
        <v>40</v>
      </c>
      <c r="CD42" s="10">
        <f t="shared" si="27"/>
        <v>56</v>
      </c>
      <c r="CE42" s="10">
        <f t="shared" si="28"/>
        <v>96</v>
      </c>
      <c r="CF42" s="10">
        <f t="shared" si="29"/>
        <v>4</v>
      </c>
      <c r="CG42" s="10">
        <f t="shared" si="30"/>
        <v>100</v>
      </c>
      <c r="CH42" s="10">
        <f t="shared" si="31"/>
        <v>100</v>
      </c>
      <c r="CI42" s="10">
        <f t="shared" si="32"/>
        <v>100</v>
      </c>
      <c r="CJ42" s="10">
        <f t="shared" si="33"/>
        <v>44.193548387096776</v>
      </c>
      <c r="CK42" s="10">
        <f t="shared" si="34"/>
        <v>51.548387096774192</v>
      </c>
      <c r="CL42" s="10">
        <f t="shared" si="35"/>
        <v>100</v>
      </c>
      <c r="CM42" s="10"/>
      <c r="CN42" s="10">
        <f t="shared" si="36"/>
        <v>100</v>
      </c>
      <c r="CO42" s="10">
        <f t="shared" si="37"/>
        <v>68</v>
      </c>
      <c r="CP42" s="10">
        <f t="shared" si="38"/>
        <v>100</v>
      </c>
      <c r="CQ42" s="10">
        <f t="shared" si="39"/>
        <v>77.272727272727266</v>
      </c>
      <c r="CR42" s="10">
        <f t="shared" si="40"/>
        <v>12</v>
      </c>
      <c r="CS42" s="10">
        <f t="shared" si="41"/>
        <v>88</v>
      </c>
    </row>
    <row r="43" spans="1:97">
      <c r="A43" s="8" t="s">
        <v>189</v>
      </c>
      <c r="B43" s="8" t="s">
        <v>192</v>
      </c>
      <c r="C43" s="21" t="s">
        <v>145</v>
      </c>
      <c r="D43" s="9">
        <v>32</v>
      </c>
      <c r="E43" s="9">
        <v>23</v>
      </c>
      <c r="F43" s="9">
        <v>9</v>
      </c>
      <c r="G43" s="9">
        <v>1</v>
      </c>
      <c r="H43" s="9">
        <v>0</v>
      </c>
      <c r="I43" s="9">
        <v>0</v>
      </c>
      <c r="J43" s="9">
        <v>8</v>
      </c>
      <c r="K43" s="9">
        <v>23</v>
      </c>
      <c r="L43" s="9">
        <v>23</v>
      </c>
      <c r="M43" s="9">
        <v>22</v>
      </c>
      <c r="N43" s="9">
        <v>23</v>
      </c>
      <c r="O43" s="9">
        <v>23</v>
      </c>
      <c r="P43" s="9">
        <v>0</v>
      </c>
      <c r="Q43" s="9">
        <v>0</v>
      </c>
      <c r="R43" s="9">
        <v>21</v>
      </c>
      <c r="S43" s="9">
        <v>21</v>
      </c>
      <c r="T43" s="9">
        <v>15</v>
      </c>
      <c r="U43" s="9">
        <v>8</v>
      </c>
      <c r="V43" s="9">
        <v>0</v>
      </c>
      <c r="W43" s="9">
        <v>8</v>
      </c>
      <c r="X43" s="9">
        <v>8</v>
      </c>
      <c r="Y43" s="9">
        <v>17</v>
      </c>
      <c r="Z43" s="9">
        <v>23</v>
      </c>
      <c r="AA43" s="9">
        <v>6</v>
      </c>
      <c r="AB43" s="9">
        <v>0</v>
      </c>
      <c r="AC43" s="9">
        <v>18</v>
      </c>
      <c r="AD43" s="9">
        <v>5</v>
      </c>
      <c r="AE43" s="9">
        <v>23</v>
      </c>
      <c r="AF43" s="9">
        <v>0</v>
      </c>
      <c r="AG43" s="9">
        <v>23</v>
      </c>
      <c r="AH43" s="9">
        <v>23</v>
      </c>
      <c r="AI43" s="9">
        <v>23</v>
      </c>
      <c r="AJ43" s="9">
        <v>873</v>
      </c>
      <c r="AK43" s="9">
        <v>403</v>
      </c>
      <c r="AL43" s="9">
        <v>0</v>
      </c>
      <c r="AM43" s="9">
        <v>0</v>
      </c>
      <c r="AN43" s="9">
        <v>0</v>
      </c>
      <c r="AO43" s="9">
        <v>20</v>
      </c>
      <c r="AP43" s="9">
        <v>22</v>
      </c>
      <c r="AQ43" s="9">
        <v>20</v>
      </c>
      <c r="AR43" s="9">
        <v>23</v>
      </c>
      <c r="AS43" s="9">
        <v>0</v>
      </c>
      <c r="AT43" s="9">
        <v>8</v>
      </c>
      <c r="AU43" s="9">
        <v>3</v>
      </c>
      <c r="AV43" s="9">
        <v>6</v>
      </c>
      <c r="AW43" s="9">
        <v>5</v>
      </c>
      <c r="AX43" s="9">
        <v>1</v>
      </c>
      <c r="AY43" s="9">
        <v>0</v>
      </c>
      <c r="AZ43" s="9">
        <v>0</v>
      </c>
      <c r="BA43" s="9">
        <v>0</v>
      </c>
      <c r="BB43" s="9">
        <v>15</v>
      </c>
      <c r="BC43" s="18"/>
      <c r="BD43" s="9"/>
      <c r="BE43" s="9"/>
      <c r="BF43" s="9"/>
      <c r="BG43" s="10">
        <f t="shared" ref="BG43:BG57" si="42">E43*100/D43</f>
        <v>71.875</v>
      </c>
      <c r="BH43" s="10">
        <f t="shared" ref="BH43:BH57" si="43">F43*100/D43</f>
        <v>28.125</v>
      </c>
      <c r="BI43" s="10">
        <f t="shared" ref="BI43:BI57" si="44">G43*100/F43</f>
        <v>11.111111111111111</v>
      </c>
      <c r="BJ43" s="10">
        <f t="shared" ref="BJ43:BJ57" si="45">H43*100/F43</f>
        <v>0</v>
      </c>
      <c r="BK43" s="10">
        <f t="shared" ref="BK43:BK57" si="46">I43*100/F43</f>
        <v>0</v>
      </c>
      <c r="BL43" s="10">
        <f t="shared" ref="BL43:BL57" si="47">J43*100/F43</f>
        <v>88.888888888888886</v>
      </c>
      <c r="BM43" s="10">
        <f t="shared" ref="BM43:BM57" si="48">L43*100/$K43</f>
        <v>100</v>
      </c>
      <c r="BN43" s="10">
        <f t="shared" ref="BN43:BN57" si="49">M43*100/$K43</f>
        <v>95.652173913043484</v>
      </c>
      <c r="BO43" s="10">
        <f t="shared" ref="BO43:BO57" si="50">N43*100/$K43</f>
        <v>100</v>
      </c>
      <c r="BP43" s="10">
        <f t="shared" si="15"/>
        <v>100</v>
      </c>
      <c r="BQ43" s="10">
        <f t="shared" ref="BQ43:BQ57" si="51">Q43*100/$K43</f>
        <v>0</v>
      </c>
      <c r="BR43" s="10">
        <f t="shared" ref="BR43:BR57" si="52">R43*100/$K43</f>
        <v>91.304347826086953</v>
      </c>
      <c r="BS43" s="10">
        <f t="shared" si="18"/>
        <v>100</v>
      </c>
      <c r="BT43" s="10">
        <f t="shared" ref="BT43:BT57" si="53">T43*100/$K43</f>
        <v>65.217391304347828</v>
      </c>
      <c r="BU43" s="10">
        <f t="shared" ref="BU43:BU57" si="54">U43*100/$K43</f>
        <v>34.782608695652172</v>
      </c>
      <c r="BV43" s="10">
        <f t="shared" ref="BV43:BX58" si="55">V43*100/$K43</f>
        <v>0</v>
      </c>
      <c r="BW43" s="10">
        <f t="shared" si="55"/>
        <v>34.782608695652172</v>
      </c>
      <c r="BX43" s="10">
        <f t="shared" si="55"/>
        <v>34.782608695652172</v>
      </c>
      <c r="BY43" s="10">
        <f t="shared" ref="BY43:BY57" si="56">Y43*100/$K43</f>
        <v>73.913043478260875</v>
      </c>
      <c r="BZ43" s="10">
        <f t="shared" ref="BZ43:BZ57" si="57">Z43*100/$K43</f>
        <v>100</v>
      </c>
      <c r="CA43" s="10">
        <f t="shared" ref="CA43:CA57" si="58">AA43*100/$K43</f>
        <v>26.086956521739129</v>
      </c>
      <c r="CB43" s="10">
        <f t="shared" ref="CB43:CB57" si="59">AB43*100/$K43</f>
        <v>0</v>
      </c>
      <c r="CC43" s="10">
        <f t="shared" ref="CC43:CC57" si="60">AC43*100/$K43</f>
        <v>78.260869565217391</v>
      </c>
      <c r="CD43" s="10">
        <f t="shared" ref="CD43:CD57" si="61">AD43*100/$K43</f>
        <v>21.739130434782609</v>
      </c>
      <c r="CE43" s="10">
        <f t="shared" ref="CE43:CE57" si="62">AE43*100/$K43</f>
        <v>100</v>
      </c>
      <c r="CF43" s="10">
        <f t="shared" ref="CF43:CF57" si="63">AF43*100/$K43</f>
        <v>0</v>
      </c>
      <c r="CG43" s="10">
        <f t="shared" si="30"/>
        <v>100</v>
      </c>
      <c r="CH43" s="10">
        <f t="shared" ref="CH43:CH57" si="64">AH43*100/$K43</f>
        <v>100</v>
      </c>
      <c r="CI43" s="10">
        <f t="shared" ref="CI43:CI57" si="65">AI43*100/$K43</f>
        <v>100</v>
      </c>
      <c r="CJ43" s="10">
        <f t="shared" ref="CJ43:CJ57" si="66">AK43*100/AJ43</f>
        <v>46.162657502863688</v>
      </c>
      <c r="CK43" s="10">
        <f t="shared" ref="CK43:CK57" si="67">AL43*100/AJ43</f>
        <v>0</v>
      </c>
      <c r="CL43" s="10">
        <f t="shared" ref="CL43:CL57" si="68">AM43*100/$K43</f>
        <v>0</v>
      </c>
      <c r="CM43" s="10"/>
      <c r="CN43" s="10">
        <f t="shared" ref="CN43:CN57" si="69">AO43*100/$K43</f>
        <v>86.956521739130437</v>
      </c>
      <c r="CO43" s="10">
        <f t="shared" ref="CO43:CO57" si="70">AP43*100/$K43</f>
        <v>95.652173913043484</v>
      </c>
      <c r="CP43" s="10">
        <f t="shared" ref="CP43:CP57" si="71">AQ43*100/$K43</f>
        <v>86.956521739130437</v>
      </c>
      <c r="CQ43" s="10">
        <f t="shared" ref="CQ43:CQ57" si="72">AR43*100/(AR43+AS43)</f>
        <v>100</v>
      </c>
      <c r="CR43" s="10">
        <f t="shared" ref="CR43:CR57" si="73">AT43*100/$K43</f>
        <v>34.782608695652172</v>
      </c>
      <c r="CS43" s="10">
        <f t="shared" ref="CS43:CS57" si="74">BB43*100/$K43</f>
        <v>65.217391304347828</v>
      </c>
    </row>
    <row r="44" spans="1:97">
      <c r="A44" s="8" t="s">
        <v>189</v>
      </c>
      <c r="B44" s="8" t="s">
        <v>193</v>
      </c>
      <c r="C44" s="21" t="s">
        <v>145</v>
      </c>
      <c r="D44" s="9">
        <v>29</v>
      </c>
      <c r="E44" s="9">
        <v>29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23</v>
      </c>
      <c r="L44" s="9">
        <v>23</v>
      </c>
      <c r="M44" s="9">
        <v>23</v>
      </c>
      <c r="N44" s="9">
        <v>23</v>
      </c>
      <c r="O44" s="9">
        <v>23</v>
      </c>
      <c r="P44" s="9">
        <v>0</v>
      </c>
      <c r="Q44" s="9">
        <v>0</v>
      </c>
      <c r="R44" s="9">
        <v>23</v>
      </c>
      <c r="S44" s="9">
        <v>20</v>
      </c>
      <c r="T44" s="9">
        <v>15</v>
      </c>
      <c r="U44" s="9">
        <v>8</v>
      </c>
      <c r="V44" s="9">
        <v>0</v>
      </c>
      <c r="W44" s="9">
        <v>14</v>
      </c>
      <c r="X44" s="9">
        <v>13</v>
      </c>
      <c r="Y44" s="9">
        <v>16</v>
      </c>
      <c r="Z44" s="9">
        <v>23</v>
      </c>
      <c r="AA44" s="9">
        <v>7</v>
      </c>
      <c r="AB44" s="9">
        <v>0</v>
      </c>
      <c r="AC44" s="9">
        <v>9</v>
      </c>
      <c r="AD44" s="9">
        <v>14</v>
      </c>
      <c r="AE44" s="9">
        <v>23</v>
      </c>
      <c r="AF44" s="9">
        <v>0</v>
      </c>
      <c r="AG44" s="9">
        <v>23</v>
      </c>
      <c r="AH44" s="9">
        <v>23</v>
      </c>
      <c r="AI44" s="9">
        <v>23</v>
      </c>
      <c r="AJ44" s="9">
        <v>8624</v>
      </c>
      <c r="AK44" s="9">
        <v>6186</v>
      </c>
      <c r="AL44" s="9">
        <v>595</v>
      </c>
      <c r="AM44" s="9">
        <v>23</v>
      </c>
      <c r="AN44" s="9">
        <v>0</v>
      </c>
      <c r="AO44" s="9">
        <v>23</v>
      </c>
      <c r="AP44" s="9">
        <v>23</v>
      </c>
      <c r="AQ44" s="9">
        <v>23</v>
      </c>
      <c r="AR44" s="9">
        <v>22</v>
      </c>
      <c r="AS44" s="9">
        <v>1</v>
      </c>
      <c r="AT44" s="9">
        <v>3</v>
      </c>
      <c r="AU44" s="9">
        <v>9</v>
      </c>
      <c r="AV44" s="9">
        <v>8</v>
      </c>
      <c r="AW44" s="9">
        <v>3</v>
      </c>
      <c r="AX44" s="9">
        <v>0</v>
      </c>
      <c r="AY44" s="9">
        <v>0</v>
      </c>
      <c r="AZ44" s="9">
        <v>0</v>
      </c>
      <c r="BA44" s="9">
        <v>0</v>
      </c>
      <c r="BB44" s="9">
        <v>20</v>
      </c>
      <c r="BC44" s="18"/>
      <c r="BD44" s="9"/>
      <c r="BE44" s="9"/>
      <c r="BF44" s="9"/>
      <c r="BG44" s="10">
        <f t="shared" si="42"/>
        <v>100</v>
      </c>
      <c r="BH44" s="10">
        <f t="shared" si="43"/>
        <v>0</v>
      </c>
      <c r="BI44" s="10" t="e">
        <f t="shared" si="44"/>
        <v>#DIV/0!</v>
      </c>
      <c r="BJ44" s="10" t="e">
        <f t="shared" si="45"/>
        <v>#DIV/0!</v>
      </c>
      <c r="BK44" s="10" t="e">
        <f t="shared" si="46"/>
        <v>#DIV/0!</v>
      </c>
      <c r="BL44" s="10" t="e">
        <f t="shared" si="47"/>
        <v>#DIV/0!</v>
      </c>
      <c r="BM44" s="10">
        <f t="shared" si="48"/>
        <v>100</v>
      </c>
      <c r="BN44" s="10">
        <f t="shared" si="49"/>
        <v>100</v>
      </c>
      <c r="BO44" s="10">
        <f t="shared" si="50"/>
        <v>100</v>
      </c>
      <c r="BP44" s="10">
        <f t="shared" si="15"/>
        <v>100</v>
      </c>
      <c r="BQ44" s="10">
        <f t="shared" si="51"/>
        <v>0</v>
      </c>
      <c r="BR44" s="10">
        <f t="shared" si="52"/>
        <v>100</v>
      </c>
      <c r="BS44" s="10">
        <f t="shared" si="18"/>
        <v>86.956521739130437</v>
      </c>
      <c r="BT44" s="10">
        <f t="shared" si="53"/>
        <v>65.217391304347828</v>
      </c>
      <c r="BU44" s="10">
        <f t="shared" si="54"/>
        <v>34.782608695652172</v>
      </c>
      <c r="BV44" s="10">
        <f t="shared" si="55"/>
        <v>0</v>
      </c>
      <c r="BW44" s="10">
        <f t="shared" si="55"/>
        <v>60.869565217391305</v>
      </c>
      <c r="BX44" s="10">
        <f t="shared" si="55"/>
        <v>56.521739130434781</v>
      </c>
      <c r="BY44" s="10">
        <f t="shared" si="56"/>
        <v>69.565217391304344</v>
      </c>
      <c r="BZ44" s="10">
        <f t="shared" si="57"/>
        <v>100</v>
      </c>
      <c r="CA44" s="10">
        <f t="shared" si="58"/>
        <v>30.434782608695652</v>
      </c>
      <c r="CB44" s="10">
        <f t="shared" si="59"/>
        <v>0</v>
      </c>
      <c r="CC44" s="10">
        <f t="shared" si="60"/>
        <v>39.130434782608695</v>
      </c>
      <c r="CD44" s="10">
        <f t="shared" si="61"/>
        <v>60.869565217391305</v>
      </c>
      <c r="CE44" s="10">
        <f t="shared" si="62"/>
        <v>100</v>
      </c>
      <c r="CF44" s="10">
        <f t="shared" si="63"/>
        <v>0</v>
      </c>
      <c r="CG44" s="10">
        <f t="shared" si="30"/>
        <v>100</v>
      </c>
      <c r="CH44" s="10">
        <f t="shared" si="64"/>
        <v>100</v>
      </c>
      <c r="CI44" s="10">
        <f t="shared" si="65"/>
        <v>100</v>
      </c>
      <c r="CJ44" s="10">
        <f t="shared" si="66"/>
        <v>71.73005565862708</v>
      </c>
      <c r="CK44" s="10">
        <f t="shared" si="67"/>
        <v>6.8993506493506498</v>
      </c>
      <c r="CL44" s="10">
        <f t="shared" si="68"/>
        <v>100</v>
      </c>
      <c r="CM44" s="10"/>
      <c r="CN44" s="10">
        <f t="shared" si="69"/>
        <v>100</v>
      </c>
      <c r="CO44" s="10">
        <f t="shared" si="70"/>
        <v>100</v>
      </c>
      <c r="CP44" s="10">
        <f t="shared" si="71"/>
        <v>100</v>
      </c>
      <c r="CQ44" s="10">
        <f t="shared" si="72"/>
        <v>95.652173913043484</v>
      </c>
      <c r="CR44" s="10">
        <f t="shared" si="73"/>
        <v>13.043478260869565</v>
      </c>
      <c r="CS44" s="10">
        <f t="shared" si="74"/>
        <v>86.956521739130437</v>
      </c>
    </row>
    <row r="45" spans="1:97">
      <c r="A45" s="8" t="s">
        <v>189</v>
      </c>
      <c r="B45" s="8" t="s">
        <v>194</v>
      </c>
      <c r="C45" s="21" t="s">
        <v>145</v>
      </c>
      <c r="D45" s="9">
        <v>37</v>
      </c>
      <c r="E45" s="9">
        <v>33</v>
      </c>
      <c r="F45" s="9">
        <v>4</v>
      </c>
      <c r="G45" s="9">
        <v>4</v>
      </c>
      <c r="H45" s="9">
        <v>0</v>
      </c>
      <c r="I45" s="9">
        <v>0</v>
      </c>
      <c r="J45" s="9">
        <v>0</v>
      </c>
      <c r="K45" s="9">
        <v>33</v>
      </c>
      <c r="L45" s="9">
        <v>33</v>
      </c>
      <c r="M45" s="9">
        <v>29</v>
      </c>
      <c r="N45" s="9">
        <v>33</v>
      </c>
      <c r="O45" s="9">
        <v>33</v>
      </c>
      <c r="P45" s="9">
        <v>0</v>
      </c>
      <c r="Q45" s="9">
        <v>0</v>
      </c>
      <c r="R45" s="9">
        <v>26</v>
      </c>
      <c r="S45" s="9">
        <v>11</v>
      </c>
      <c r="T45" s="9">
        <v>26</v>
      </c>
      <c r="U45" s="9">
        <v>7</v>
      </c>
      <c r="V45" s="9">
        <v>0</v>
      </c>
      <c r="W45" s="9">
        <v>12</v>
      </c>
      <c r="X45" s="9">
        <v>9</v>
      </c>
      <c r="Y45" s="9">
        <v>27</v>
      </c>
      <c r="Z45" s="9">
        <v>33</v>
      </c>
      <c r="AA45" s="9">
        <v>6</v>
      </c>
      <c r="AB45" s="9">
        <v>0</v>
      </c>
      <c r="AC45" s="9">
        <v>26</v>
      </c>
      <c r="AD45" s="9">
        <v>7</v>
      </c>
      <c r="AE45" s="9">
        <v>33</v>
      </c>
      <c r="AF45" s="9">
        <v>0</v>
      </c>
      <c r="AG45" s="9">
        <v>32</v>
      </c>
      <c r="AH45" s="9">
        <v>33</v>
      </c>
      <c r="AI45" s="9">
        <v>33</v>
      </c>
      <c r="AJ45" s="9">
        <v>1810</v>
      </c>
      <c r="AK45" s="9">
        <v>1102</v>
      </c>
      <c r="AL45" s="9">
        <v>275</v>
      </c>
      <c r="AM45" s="9">
        <v>16</v>
      </c>
      <c r="AN45" s="9">
        <v>1</v>
      </c>
      <c r="AO45" s="9">
        <v>25</v>
      </c>
      <c r="AP45" s="9">
        <v>6</v>
      </c>
      <c r="AQ45" s="9">
        <v>25</v>
      </c>
      <c r="AR45" s="9">
        <v>6</v>
      </c>
      <c r="AS45" s="9">
        <v>22</v>
      </c>
      <c r="AT45" s="9">
        <v>18</v>
      </c>
      <c r="AU45" s="9">
        <v>14</v>
      </c>
      <c r="AV45" s="9">
        <v>0</v>
      </c>
      <c r="AW45" s="9">
        <v>1</v>
      </c>
      <c r="AX45" s="9">
        <v>0</v>
      </c>
      <c r="AY45" s="9">
        <v>0</v>
      </c>
      <c r="AZ45" s="9">
        <v>0</v>
      </c>
      <c r="BA45" s="9">
        <v>0</v>
      </c>
      <c r="BB45" s="9">
        <v>15</v>
      </c>
      <c r="BC45" s="18"/>
      <c r="BD45" s="9"/>
      <c r="BE45" s="9"/>
      <c r="BF45" s="9"/>
      <c r="BG45" s="10">
        <f t="shared" si="42"/>
        <v>89.189189189189193</v>
      </c>
      <c r="BH45" s="10">
        <f t="shared" si="43"/>
        <v>10.810810810810811</v>
      </c>
      <c r="BI45" s="10">
        <f t="shared" si="44"/>
        <v>100</v>
      </c>
      <c r="BJ45" s="10">
        <f t="shared" si="45"/>
        <v>0</v>
      </c>
      <c r="BK45" s="10">
        <f t="shared" si="46"/>
        <v>0</v>
      </c>
      <c r="BL45" s="10">
        <f t="shared" si="47"/>
        <v>0</v>
      </c>
      <c r="BM45" s="10">
        <f t="shared" si="48"/>
        <v>100</v>
      </c>
      <c r="BN45" s="10">
        <f t="shared" si="49"/>
        <v>87.878787878787875</v>
      </c>
      <c r="BO45" s="10">
        <f t="shared" si="50"/>
        <v>100</v>
      </c>
      <c r="BP45" s="10">
        <f t="shared" si="15"/>
        <v>100</v>
      </c>
      <c r="BQ45" s="10">
        <f t="shared" si="51"/>
        <v>0</v>
      </c>
      <c r="BR45" s="10">
        <f t="shared" si="52"/>
        <v>78.787878787878782</v>
      </c>
      <c r="BS45" s="10">
        <f t="shared" si="18"/>
        <v>42.307692307692307</v>
      </c>
      <c r="BT45" s="10">
        <f t="shared" si="53"/>
        <v>78.787878787878782</v>
      </c>
      <c r="BU45" s="10">
        <f t="shared" si="54"/>
        <v>21.212121212121211</v>
      </c>
      <c r="BV45" s="10">
        <f t="shared" si="55"/>
        <v>0</v>
      </c>
      <c r="BW45" s="10">
        <f t="shared" si="55"/>
        <v>36.363636363636367</v>
      </c>
      <c r="BX45" s="10">
        <f t="shared" si="55"/>
        <v>27.272727272727273</v>
      </c>
      <c r="BY45" s="10">
        <f t="shared" si="56"/>
        <v>81.818181818181813</v>
      </c>
      <c r="BZ45" s="10">
        <f t="shared" si="57"/>
        <v>100</v>
      </c>
      <c r="CA45" s="10">
        <f t="shared" si="58"/>
        <v>18.181818181818183</v>
      </c>
      <c r="CB45" s="10">
        <f t="shared" si="59"/>
        <v>0</v>
      </c>
      <c r="CC45" s="10">
        <f t="shared" si="60"/>
        <v>78.787878787878782</v>
      </c>
      <c r="CD45" s="10">
        <f t="shared" si="61"/>
        <v>21.212121212121211</v>
      </c>
      <c r="CE45" s="10">
        <f t="shared" si="62"/>
        <v>100</v>
      </c>
      <c r="CF45" s="10">
        <f t="shared" si="63"/>
        <v>0</v>
      </c>
      <c r="CG45" s="10">
        <f t="shared" si="30"/>
        <v>96.969696969696969</v>
      </c>
      <c r="CH45" s="10">
        <f t="shared" si="64"/>
        <v>100</v>
      </c>
      <c r="CI45" s="10">
        <f t="shared" si="65"/>
        <v>100</v>
      </c>
      <c r="CJ45" s="10">
        <f t="shared" si="66"/>
        <v>60.883977900552487</v>
      </c>
      <c r="CK45" s="10">
        <f t="shared" si="67"/>
        <v>15.193370165745856</v>
      </c>
      <c r="CL45" s="10">
        <f t="shared" si="68"/>
        <v>48.484848484848484</v>
      </c>
      <c r="CM45" s="10"/>
      <c r="CN45" s="10">
        <f t="shared" si="69"/>
        <v>75.757575757575751</v>
      </c>
      <c r="CO45" s="10">
        <f t="shared" si="70"/>
        <v>18.181818181818183</v>
      </c>
      <c r="CP45" s="10">
        <f t="shared" si="71"/>
        <v>75.757575757575751</v>
      </c>
      <c r="CQ45" s="10">
        <f t="shared" si="72"/>
        <v>21.428571428571427</v>
      </c>
      <c r="CR45" s="10">
        <f t="shared" si="73"/>
        <v>54.545454545454547</v>
      </c>
      <c r="CS45" s="10">
        <f t="shared" si="74"/>
        <v>45.454545454545453</v>
      </c>
    </row>
    <row r="46" spans="1:97">
      <c r="A46" s="8" t="s">
        <v>189</v>
      </c>
      <c r="B46" s="8" t="s">
        <v>195</v>
      </c>
      <c r="C46" s="21" t="s">
        <v>145</v>
      </c>
      <c r="D46" s="9">
        <v>35</v>
      </c>
      <c r="E46" s="9">
        <v>34</v>
      </c>
      <c r="F46" s="9">
        <v>1</v>
      </c>
      <c r="G46" s="9">
        <v>1</v>
      </c>
      <c r="H46" s="9">
        <v>0</v>
      </c>
      <c r="I46" s="9">
        <v>0</v>
      </c>
      <c r="J46" s="9">
        <v>0</v>
      </c>
      <c r="K46" s="9">
        <v>32</v>
      </c>
      <c r="L46" s="9">
        <v>31</v>
      </c>
      <c r="M46" s="9">
        <v>26</v>
      </c>
      <c r="N46" s="9">
        <v>32</v>
      </c>
      <c r="O46" s="9">
        <v>31</v>
      </c>
      <c r="P46" s="9">
        <v>0</v>
      </c>
      <c r="Q46" s="9">
        <v>0</v>
      </c>
      <c r="R46" s="9">
        <v>29</v>
      </c>
      <c r="S46" s="9">
        <v>28</v>
      </c>
      <c r="T46" s="9">
        <v>19</v>
      </c>
      <c r="U46" s="9">
        <v>12</v>
      </c>
      <c r="V46" s="9">
        <v>1</v>
      </c>
      <c r="W46" s="9">
        <v>10</v>
      </c>
      <c r="X46" s="9">
        <v>9</v>
      </c>
      <c r="Y46" s="9">
        <v>27</v>
      </c>
      <c r="Z46" s="9">
        <v>31</v>
      </c>
      <c r="AA46" s="9">
        <v>4</v>
      </c>
      <c r="AB46" s="9">
        <v>1</v>
      </c>
      <c r="AC46" s="9">
        <v>16</v>
      </c>
      <c r="AD46" s="9">
        <v>16</v>
      </c>
      <c r="AE46" s="9">
        <v>32</v>
      </c>
      <c r="AF46" s="9">
        <v>0</v>
      </c>
      <c r="AG46" s="9">
        <v>32</v>
      </c>
      <c r="AH46" s="9">
        <v>32</v>
      </c>
      <c r="AI46" s="9">
        <v>32</v>
      </c>
      <c r="AJ46" s="9">
        <v>1564</v>
      </c>
      <c r="AK46" s="9">
        <v>828</v>
      </c>
      <c r="AL46" s="9">
        <v>314</v>
      </c>
      <c r="AM46" s="9">
        <v>24</v>
      </c>
      <c r="AN46" s="9">
        <v>0</v>
      </c>
      <c r="AO46" s="9">
        <v>31</v>
      </c>
      <c r="AP46" s="9">
        <v>1</v>
      </c>
      <c r="AQ46" s="9">
        <v>31</v>
      </c>
      <c r="AR46" s="9">
        <v>18</v>
      </c>
      <c r="AS46" s="9">
        <v>11</v>
      </c>
      <c r="AT46" s="9">
        <v>10</v>
      </c>
      <c r="AU46" s="9">
        <v>21</v>
      </c>
      <c r="AV46" s="9">
        <v>0</v>
      </c>
      <c r="AW46" s="9">
        <v>1</v>
      </c>
      <c r="AX46" s="9">
        <v>0</v>
      </c>
      <c r="AY46" s="9">
        <v>0</v>
      </c>
      <c r="AZ46" s="9">
        <v>0</v>
      </c>
      <c r="BA46" s="9">
        <v>0</v>
      </c>
      <c r="BB46" s="9">
        <v>22</v>
      </c>
      <c r="BC46" s="18"/>
      <c r="BD46" s="9"/>
      <c r="BE46" s="9"/>
      <c r="BF46" s="9"/>
      <c r="BG46" s="10">
        <f t="shared" si="42"/>
        <v>97.142857142857139</v>
      </c>
      <c r="BH46" s="10">
        <f t="shared" si="43"/>
        <v>2.8571428571428572</v>
      </c>
      <c r="BI46" s="10">
        <f t="shared" si="44"/>
        <v>100</v>
      </c>
      <c r="BJ46" s="10">
        <f t="shared" si="45"/>
        <v>0</v>
      </c>
      <c r="BK46" s="10">
        <f t="shared" si="46"/>
        <v>0</v>
      </c>
      <c r="BL46" s="10">
        <f t="shared" si="47"/>
        <v>0</v>
      </c>
      <c r="BM46" s="10">
        <f t="shared" si="48"/>
        <v>96.875</v>
      </c>
      <c r="BN46" s="10">
        <f t="shared" si="49"/>
        <v>81.25</v>
      </c>
      <c r="BO46" s="10">
        <f t="shared" si="50"/>
        <v>100</v>
      </c>
      <c r="BP46" s="10">
        <f t="shared" si="15"/>
        <v>96.875</v>
      </c>
      <c r="BQ46" s="10">
        <f t="shared" si="51"/>
        <v>0</v>
      </c>
      <c r="BR46" s="10">
        <f t="shared" si="52"/>
        <v>90.625</v>
      </c>
      <c r="BS46" s="10">
        <f t="shared" si="18"/>
        <v>96.551724137931032</v>
      </c>
      <c r="BT46" s="10">
        <f t="shared" si="53"/>
        <v>59.375</v>
      </c>
      <c r="BU46" s="10">
        <f t="shared" si="54"/>
        <v>37.5</v>
      </c>
      <c r="BV46" s="10">
        <f t="shared" si="55"/>
        <v>3.125</v>
      </c>
      <c r="BW46" s="10">
        <f t="shared" si="55"/>
        <v>31.25</v>
      </c>
      <c r="BX46" s="10">
        <f t="shared" si="55"/>
        <v>28.125</v>
      </c>
      <c r="BY46" s="10">
        <f t="shared" si="56"/>
        <v>84.375</v>
      </c>
      <c r="BZ46" s="10">
        <f t="shared" si="57"/>
        <v>96.875</v>
      </c>
      <c r="CA46" s="10">
        <f t="shared" si="58"/>
        <v>12.5</v>
      </c>
      <c r="CB46" s="10">
        <f t="shared" si="59"/>
        <v>3.125</v>
      </c>
      <c r="CC46" s="10">
        <f t="shared" si="60"/>
        <v>50</v>
      </c>
      <c r="CD46" s="10">
        <f t="shared" si="61"/>
        <v>50</v>
      </c>
      <c r="CE46" s="10">
        <f t="shared" si="62"/>
        <v>100</v>
      </c>
      <c r="CF46" s="10">
        <f t="shared" si="63"/>
        <v>0</v>
      </c>
      <c r="CG46" s="10">
        <f t="shared" si="30"/>
        <v>100</v>
      </c>
      <c r="CH46" s="10">
        <f t="shared" si="64"/>
        <v>100</v>
      </c>
      <c r="CI46" s="10">
        <f t="shared" si="65"/>
        <v>100</v>
      </c>
      <c r="CJ46" s="10">
        <f t="shared" si="66"/>
        <v>52.941176470588232</v>
      </c>
      <c r="CK46" s="10">
        <f t="shared" si="67"/>
        <v>20.076726342710998</v>
      </c>
      <c r="CL46" s="10">
        <f t="shared" si="68"/>
        <v>75</v>
      </c>
      <c r="CM46" s="10"/>
      <c r="CN46" s="10">
        <f t="shared" si="69"/>
        <v>96.875</v>
      </c>
      <c r="CO46" s="10">
        <f t="shared" si="70"/>
        <v>3.125</v>
      </c>
      <c r="CP46" s="10">
        <f t="shared" si="71"/>
        <v>96.875</v>
      </c>
      <c r="CQ46" s="10">
        <f t="shared" si="72"/>
        <v>62.068965517241381</v>
      </c>
      <c r="CR46" s="10">
        <f t="shared" si="73"/>
        <v>31.25</v>
      </c>
      <c r="CS46" s="10">
        <f t="shared" si="74"/>
        <v>68.75</v>
      </c>
    </row>
    <row r="47" spans="1:97">
      <c r="A47" s="8" t="s">
        <v>189</v>
      </c>
      <c r="B47" s="8" t="s">
        <v>196</v>
      </c>
      <c r="C47" s="21" t="s">
        <v>145</v>
      </c>
      <c r="D47" s="9">
        <v>36</v>
      </c>
      <c r="E47" s="9">
        <v>32</v>
      </c>
      <c r="F47" s="9">
        <v>4</v>
      </c>
      <c r="G47" s="9">
        <v>0</v>
      </c>
      <c r="H47" s="9">
        <v>0</v>
      </c>
      <c r="I47" s="9">
        <v>0</v>
      </c>
      <c r="J47" s="9">
        <v>4</v>
      </c>
      <c r="K47" s="9">
        <v>32</v>
      </c>
      <c r="L47" s="9">
        <v>32</v>
      </c>
      <c r="M47" s="9">
        <v>31</v>
      </c>
      <c r="N47" s="9">
        <v>32</v>
      </c>
      <c r="O47" s="9">
        <v>32</v>
      </c>
      <c r="P47" s="9">
        <v>0</v>
      </c>
      <c r="Q47" s="9">
        <v>0</v>
      </c>
      <c r="R47" s="9">
        <v>25</v>
      </c>
      <c r="S47" s="9">
        <v>21</v>
      </c>
      <c r="T47" s="9">
        <v>20</v>
      </c>
      <c r="U47" s="9">
        <v>12</v>
      </c>
      <c r="V47" s="9">
        <v>0</v>
      </c>
      <c r="W47" s="9">
        <v>7</v>
      </c>
      <c r="X47" s="9">
        <v>7</v>
      </c>
      <c r="Y47" s="9">
        <v>19</v>
      </c>
      <c r="Z47" s="9">
        <v>32</v>
      </c>
      <c r="AA47" s="9">
        <v>13</v>
      </c>
      <c r="AB47" s="9">
        <v>0</v>
      </c>
      <c r="AC47" s="9">
        <v>19</v>
      </c>
      <c r="AD47" s="9">
        <v>13</v>
      </c>
      <c r="AE47" s="9">
        <v>32</v>
      </c>
      <c r="AF47" s="9">
        <v>0</v>
      </c>
      <c r="AG47" s="9">
        <v>32</v>
      </c>
      <c r="AH47" s="9">
        <v>32</v>
      </c>
      <c r="AI47" s="9">
        <v>31</v>
      </c>
      <c r="AJ47" s="9">
        <v>1660</v>
      </c>
      <c r="AK47" s="9">
        <v>814</v>
      </c>
      <c r="AL47" s="9">
        <v>68</v>
      </c>
      <c r="AM47" s="9">
        <v>12</v>
      </c>
      <c r="AN47" s="9">
        <v>0</v>
      </c>
      <c r="AO47" s="9">
        <v>22</v>
      </c>
      <c r="AP47" s="9">
        <v>16</v>
      </c>
      <c r="AQ47" s="9">
        <v>22</v>
      </c>
      <c r="AR47" s="9">
        <v>11</v>
      </c>
      <c r="AS47" s="9">
        <v>17</v>
      </c>
      <c r="AT47" s="9">
        <v>4</v>
      </c>
      <c r="AU47" s="9">
        <v>6</v>
      </c>
      <c r="AV47" s="9">
        <v>5</v>
      </c>
      <c r="AW47" s="9">
        <v>6</v>
      </c>
      <c r="AX47" s="9">
        <v>3</v>
      </c>
      <c r="AY47" s="9">
        <v>5</v>
      </c>
      <c r="AZ47" s="9">
        <v>3</v>
      </c>
      <c r="BA47" s="9">
        <v>0</v>
      </c>
      <c r="BB47" s="9">
        <v>28</v>
      </c>
      <c r="BC47" s="18"/>
      <c r="BD47" s="9"/>
      <c r="BE47" s="9"/>
      <c r="BF47" s="9"/>
      <c r="BG47" s="10">
        <f t="shared" si="42"/>
        <v>88.888888888888886</v>
      </c>
      <c r="BH47" s="10">
        <f t="shared" si="43"/>
        <v>11.111111111111111</v>
      </c>
      <c r="BI47" s="10">
        <f t="shared" si="44"/>
        <v>0</v>
      </c>
      <c r="BJ47" s="10">
        <f t="shared" si="45"/>
        <v>0</v>
      </c>
      <c r="BK47" s="10">
        <f t="shared" si="46"/>
        <v>0</v>
      </c>
      <c r="BL47" s="10">
        <f t="shared" si="47"/>
        <v>100</v>
      </c>
      <c r="BM47" s="10">
        <f t="shared" si="48"/>
        <v>100</v>
      </c>
      <c r="BN47" s="10">
        <f t="shared" si="49"/>
        <v>96.875</v>
      </c>
      <c r="BO47" s="10">
        <f t="shared" si="50"/>
        <v>100</v>
      </c>
      <c r="BP47" s="10">
        <f t="shared" si="15"/>
        <v>100</v>
      </c>
      <c r="BQ47" s="10">
        <f t="shared" si="51"/>
        <v>0</v>
      </c>
      <c r="BR47" s="10">
        <f t="shared" si="52"/>
        <v>78.125</v>
      </c>
      <c r="BS47" s="10">
        <f t="shared" si="18"/>
        <v>84</v>
      </c>
      <c r="BT47" s="10">
        <f t="shared" si="53"/>
        <v>62.5</v>
      </c>
      <c r="BU47" s="10">
        <f t="shared" si="54"/>
        <v>37.5</v>
      </c>
      <c r="BV47" s="10">
        <f t="shared" si="55"/>
        <v>0</v>
      </c>
      <c r="BW47" s="10">
        <f t="shared" si="55"/>
        <v>21.875</v>
      </c>
      <c r="BX47" s="10">
        <f t="shared" si="55"/>
        <v>21.875</v>
      </c>
      <c r="BY47" s="10">
        <f t="shared" si="56"/>
        <v>59.375</v>
      </c>
      <c r="BZ47" s="10">
        <f t="shared" si="57"/>
        <v>100</v>
      </c>
      <c r="CA47" s="10">
        <f t="shared" si="58"/>
        <v>40.625</v>
      </c>
      <c r="CB47" s="10">
        <f t="shared" si="59"/>
        <v>0</v>
      </c>
      <c r="CC47" s="10">
        <f t="shared" si="60"/>
        <v>59.375</v>
      </c>
      <c r="CD47" s="10">
        <f t="shared" si="61"/>
        <v>40.625</v>
      </c>
      <c r="CE47" s="10">
        <f t="shared" si="62"/>
        <v>100</v>
      </c>
      <c r="CF47" s="10">
        <f t="shared" si="63"/>
        <v>0</v>
      </c>
      <c r="CG47" s="10">
        <f t="shared" si="30"/>
        <v>100</v>
      </c>
      <c r="CH47" s="10">
        <f t="shared" si="64"/>
        <v>100</v>
      </c>
      <c r="CI47" s="10">
        <f t="shared" si="65"/>
        <v>96.875</v>
      </c>
      <c r="CJ47" s="10">
        <f t="shared" si="66"/>
        <v>49.036144578313255</v>
      </c>
      <c r="CK47" s="10">
        <f t="shared" si="67"/>
        <v>4.096385542168675</v>
      </c>
      <c r="CL47" s="10">
        <f t="shared" si="68"/>
        <v>37.5</v>
      </c>
      <c r="CM47" s="10"/>
      <c r="CN47" s="10">
        <f t="shared" si="69"/>
        <v>68.75</v>
      </c>
      <c r="CO47" s="10">
        <f t="shared" si="70"/>
        <v>50</v>
      </c>
      <c r="CP47" s="10">
        <f t="shared" si="71"/>
        <v>68.75</v>
      </c>
      <c r="CQ47" s="10">
        <f t="shared" si="72"/>
        <v>39.285714285714285</v>
      </c>
      <c r="CR47" s="10">
        <f t="shared" si="73"/>
        <v>12.5</v>
      </c>
      <c r="CS47" s="10">
        <f t="shared" si="74"/>
        <v>87.5</v>
      </c>
    </row>
    <row r="48" spans="1:97">
      <c r="A48" s="8" t="s">
        <v>189</v>
      </c>
      <c r="B48" s="8" t="s">
        <v>197</v>
      </c>
      <c r="C48" s="21" t="s">
        <v>145</v>
      </c>
      <c r="D48" s="9">
        <v>34</v>
      </c>
      <c r="E48" s="9">
        <v>26</v>
      </c>
      <c r="F48" s="9">
        <v>8</v>
      </c>
      <c r="G48" s="9">
        <v>7</v>
      </c>
      <c r="H48" s="9">
        <v>0</v>
      </c>
      <c r="I48" s="9">
        <v>0</v>
      </c>
      <c r="J48" s="43">
        <v>1</v>
      </c>
      <c r="K48" s="9">
        <v>26</v>
      </c>
      <c r="L48" s="9">
        <v>26</v>
      </c>
      <c r="M48" s="9">
        <v>26</v>
      </c>
      <c r="N48" s="9">
        <v>26</v>
      </c>
      <c r="O48" s="9">
        <v>25</v>
      </c>
      <c r="P48" s="9">
        <v>0</v>
      </c>
      <c r="Q48" s="9">
        <v>0</v>
      </c>
      <c r="R48" s="9">
        <v>23</v>
      </c>
      <c r="S48" s="9">
        <v>20</v>
      </c>
      <c r="T48" s="9">
        <v>22</v>
      </c>
      <c r="U48" s="9">
        <v>4</v>
      </c>
      <c r="V48" s="9">
        <v>0</v>
      </c>
      <c r="W48" s="9">
        <v>9</v>
      </c>
      <c r="X48" s="9">
        <v>5</v>
      </c>
      <c r="Y48" s="9">
        <v>19</v>
      </c>
      <c r="Z48" s="9">
        <v>26</v>
      </c>
      <c r="AA48" s="9">
        <v>7</v>
      </c>
      <c r="AB48" s="9">
        <v>0</v>
      </c>
      <c r="AC48" s="9">
        <v>14</v>
      </c>
      <c r="AD48" s="9">
        <v>12</v>
      </c>
      <c r="AE48" s="9">
        <v>26</v>
      </c>
      <c r="AF48" s="9">
        <v>0</v>
      </c>
      <c r="AG48" s="9">
        <v>26</v>
      </c>
      <c r="AH48" s="9">
        <v>26</v>
      </c>
      <c r="AI48" s="9">
        <v>26</v>
      </c>
      <c r="AJ48" s="9">
        <v>1454</v>
      </c>
      <c r="AK48" s="9">
        <v>863</v>
      </c>
      <c r="AL48" s="9">
        <v>53</v>
      </c>
      <c r="AM48" s="9">
        <v>16</v>
      </c>
      <c r="AN48" s="9">
        <v>0</v>
      </c>
      <c r="AO48" s="9">
        <v>21</v>
      </c>
      <c r="AP48" s="9">
        <v>25</v>
      </c>
      <c r="AQ48" s="9">
        <v>21</v>
      </c>
      <c r="AR48" s="9">
        <v>21</v>
      </c>
      <c r="AS48" s="9">
        <v>3</v>
      </c>
      <c r="AT48" s="9">
        <v>2</v>
      </c>
      <c r="AU48" s="9">
        <v>5</v>
      </c>
      <c r="AV48" s="9">
        <v>4</v>
      </c>
      <c r="AW48" s="9">
        <v>5</v>
      </c>
      <c r="AX48" s="9">
        <v>3</v>
      </c>
      <c r="AY48" s="9">
        <v>1</v>
      </c>
      <c r="AZ48" s="9">
        <v>2</v>
      </c>
      <c r="BA48" s="9">
        <v>2</v>
      </c>
      <c r="BB48" s="9">
        <v>24</v>
      </c>
      <c r="BC48" s="18"/>
      <c r="BD48" s="9"/>
      <c r="BE48" s="9"/>
      <c r="BF48" s="9"/>
      <c r="BG48" s="10">
        <f t="shared" si="42"/>
        <v>76.470588235294116</v>
      </c>
      <c r="BH48" s="10">
        <f t="shared" si="43"/>
        <v>23.529411764705884</v>
      </c>
      <c r="BI48" s="10">
        <f t="shared" si="44"/>
        <v>87.5</v>
      </c>
      <c r="BJ48" s="10">
        <f t="shared" si="45"/>
        <v>0</v>
      </c>
      <c r="BK48" s="10">
        <f t="shared" si="46"/>
        <v>0</v>
      </c>
      <c r="BL48" s="10">
        <f t="shared" si="47"/>
        <v>12.5</v>
      </c>
      <c r="BM48" s="10">
        <f t="shared" si="48"/>
        <v>100</v>
      </c>
      <c r="BN48" s="10">
        <f t="shared" si="49"/>
        <v>100</v>
      </c>
      <c r="BO48" s="10">
        <f t="shared" si="50"/>
        <v>100</v>
      </c>
      <c r="BP48" s="10">
        <f t="shared" si="15"/>
        <v>96.15384615384616</v>
      </c>
      <c r="BQ48" s="10">
        <f t="shared" si="51"/>
        <v>0</v>
      </c>
      <c r="BR48" s="10">
        <f t="shared" si="52"/>
        <v>88.461538461538467</v>
      </c>
      <c r="BS48" s="10">
        <f t="shared" si="18"/>
        <v>86.956521739130437</v>
      </c>
      <c r="BT48" s="10">
        <f t="shared" si="53"/>
        <v>84.615384615384613</v>
      </c>
      <c r="BU48" s="10">
        <f t="shared" si="54"/>
        <v>15.384615384615385</v>
      </c>
      <c r="BV48" s="10">
        <f t="shared" si="55"/>
        <v>0</v>
      </c>
      <c r="BW48" s="10">
        <f t="shared" si="55"/>
        <v>34.615384615384613</v>
      </c>
      <c r="BX48" s="10">
        <f t="shared" si="55"/>
        <v>19.23076923076923</v>
      </c>
      <c r="BY48" s="10">
        <f t="shared" si="56"/>
        <v>73.07692307692308</v>
      </c>
      <c r="BZ48" s="10">
        <f t="shared" si="57"/>
        <v>100</v>
      </c>
      <c r="CA48" s="10">
        <f t="shared" si="58"/>
        <v>26.923076923076923</v>
      </c>
      <c r="CB48" s="10">
        <f t="shared" si="59"/>
        <v>0</v>
      </c>
      <c r="CC48" s="10">
        <f t="shared" si="60"/>
        <v>53.846153846153847</v>
      </c>
      <c r="CD48" s="10">
        <f t="shared" si="61"/>
        <v>46.153846153846153</v>
      </c>
      <c r="CE48" s="10">
        <f t="shared" si="62"/>
        <v>100</v>
      </c>
      <c r="CF48" s="10">
        <f t="shared" si="63"/>
        <v>0</v>
      </c>
      <c r="CG48" s="10">
        <f t="shared" si="30"/>
        <v>100</v>
      </c>
      <c r="CH48" s="10">
        <f t="shared" si="64"/>
        <v>100</v>
      </c>
      <c r="CI48" s="10">
        <f t="shared" si="65"/>
        <v>100</v>
      </c>
      <c r="CJ48" s="10">
        <f t="shared" si="66"/>
        <v>59.353507565337004</v>
      </c>
      <c r="CK48" s="10">
        <f t="shared" si="67"/>
        <v>3.6451169188445669</v>
      </c>
      <c r="CL48" s="10">
        <f t="shared" si="68"/>
        <v>61.53846153846154</v>
      </c>
      <c r="CM48" s="10"/>
      <c r="CN48" s="10">
        <f t="shared" si="69"/>
        <v>80.769230769230774</v>
      </c>
      <c r="CO48" s="10">
        <f t="shared" si="70"/>
        <v>96.15384615384616</v>
      </c>
      <c r="CP48" s="10">
        <f t="shared" si="71"/>
        <v>80.769230769230774</v>
      </c>
      <c r="CQ48" s="10">
        <f t="shared" si="72"/>
        <v>87.5</v>
      </c>
      <c r="CR48" s="10">
        <f t="shared" si="73"/>
        <v>7.6923076923076925</v>
      </c>
      <c r="CS48" s="10">
        <f t="shared" si="74"/>
        <v>92.307692307692307</v>
      </c>
    </row>
    <row r="49" spans="1:97">
      <c r="A49" s="8" t="s">
        <v>189</v>
      </c>
      <c r="B49" s="8" t="s">
        <v>198</v>
      </c>
      <c r="C49" s="21" t="s">
        <v>145</v>
      </c>
      <c r="D49" s="9">
        <v>29</v>
      </c>
      <c r="E49" s="9">
        <v>29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29</v>
      </c>
      <c r="L49" s="9">
        <v>29</v>
      </c>
      <c r="M49" s="9">
        <v>28</v>
      </c>
      <c r="N49" s="9">
        <v>29</v>
      </c>
      <c r="O49" s="9">
        <v>27</v>
      </c>
      <c r="P49" s="9">
        <v>0</v>
      </c>
      <c r="Q49" s="9">
        <v>0</v>
      </c>
      <c r="R49" s="9">
        <v>5</v>
      </c>
      <c r="S49" s="9">
        <v>5</v>
      </c>
      <c r="T49" s="9">
        <v>25</v>
      </c>
      <c r="U49" s="9">
        <v>4</v>
      </c>
      <c r="V49" s="9">
        <v>0</v>
      </c>
      <c r="W49" s="9">
        <v>16</v>
      </c>
      <c r="X49" s="9">
        <v>11</v>
      </c>
      <c r="Y49" s="9">
        <v>23</v>
      </c>
      <c r="Z49" s="9">
        <v>29</v>
      </c>
      <c r="AA49" s="9">
        <v>6</v>
      </c>
      <c r="AB49" s="9">
        <v>0</v>
      </c>
      <c r="AC49" s="9">
        <v>23</v>
      </c>
      <c r="AD49" s="9">
        <v>6</v>
      </c>
      <c r="AE49" s="9">
        <v>29</v>
      </c>
      <c r="AF49" s="9">
        <v>0</v>
      </c>
      <c r="AG49" s="9">
        <v>29</v>
      </c>
      <c r="AH49" s="9">
        <v>29</v>
      </c>
      <c r="AI49" s="9">
        <v>29</v>
      </c>
      <c r="AJ49" s="9">
        <v>1459</v>
      </c>
      <c r="AK49" s="9">
        <v>888</v>
      </c>
      <c r="AL49" s="9">
        <v>532</v>
      </c>
      <c r="AM49" s="9">
        <v>28</v>
      </c>
      <c r="AN49" s="9">
        <v>0</v>
      </c>
      <c r="AO49" s="9">
        <v>29</v>
      </c>
      <c r="AP49" s="9">
        <v>29</v>
      </c>
      <c r="AQ49" s="9">
        <v>29</v>
      </c>
      <c r="AR49" s="9">
        <v>29</v>
      </c>
      <c r="AS49" s="9">
        <v>0</v>
      </c>
      <c r="AT49" s="9">
        <v>9</v>
      </c>
      <c r="AU49" s="9">
        <v>14</v>
      </c>
      <c r="AV49" s="9">
        <v>5</v>
      </c>
      <c r="AW49" s="9">
        <v>1</v>
      </c>
      <c r="AX49" s="9">
        <v>0</v>
      </c>
      <c r="AY49" s="9">
        <v>0</v>
      </c>
      <c r="AZ49" s="9">
        <v>0</v>
      </c>
      <c r="BA49" s="9">
        <v>0</v>
      </c>
      <c r="BB49" s="9">
        <v>20</v>
      </c>
      <c r="BC49" s="18"/>
      <c r="BD49" s="9"/>
      <c r="BE49" s="9"/>
      <c r="BF49" s="9"/>
      <c r="BG49" s="10">
        <f t="shared" si="42"/>
        <v>100</v>
      </c>
      <c r="BH49" s="10">
        <f t="shared" si="43"/>
        <v>0</v>
      </c>
      <c r="BI49" s="10" t="e">
        <f t="shared" si="44"/>
        <v>#DIV/0!</v>
      </c>
      <c r="BJ49" s="10" t="e">
        <f t="shared" si="45"/>
        <v>#DIV/0!</v>
      </c>
      <c r="BK49" s="10" t="e">
        <f t="shared" si="46"/>
        <v>#DIV/0!</v>
      </c>
      <c r="BL49" s="10" t="e">
        <f t="shared" si="47"/>
        <v>#DIV/0!</v>
      </c>
      <c r="BM49" s="10">
        <f t="shared" si="48"/>
        <v>100</v>
      </c>
      <c r="BN49" s="10">
        <f t="shared" si="49"/>
        <v>96.551724137931032</v>
      </c>
      <c r="BO49" s="10">
        <f t="shared" si="50"/>
        <v>100</v>
      </c>
      <c r="BP49" s="10">
        <f t="shared" si="15"/>
        <v>93.103448275862064</v>
      </c>
      <c r="BQ49" s="10">
        <f t="shared" si="51"/>
        <v>0</v>
      </c>
      <c r="BR49" s="10">
        <f t="shared" si="52"/>
        <v>17.241379310344829</v>
      </c>
      <c r="BS49" s="10">
        <f t="shared" si="18"/>
        <v>100</v>
      </c>
      <c r="BT49" s="10">
        <f t="shared" si="53"/>
        <v>86.206896551724142</v>
      </c>
      <c r="BU49" s="10">
        <f t="shared" si="54"/>
        <v>13.793103448275861</v>
      </c>
      <c r="BV49" s="10">
        <f t="shared" si="55"/>
        <v>0</v>
      </c>
      <c r="BW49" s="10">
        <f t="shared" si="55"/>
        <v>55.172413793103445</v>
      </c>
      <c r="BX49" s="10">
        <f t="shared" si="55"/>
        <v>37.931034482758619</v>
      </c>
      <c r="BY49" s="10">
        <f t="shared" si="56"/>
        <v>79.310344827586206</v>
      </c>
      <c r="BZ49" s="10">
        <f t="shared" si="57"/>
        <v>100</v>
      </c>
      <c r="CA49" s="10">
        <f t="shared" si="58"/>
        <v>20.689655172413794</v>
      </c>
      <c r="CB49" s="10">
        <f t="shared" si="59"/>
        <v>0</v>
      </c>
      <c r="CC49" s="10">
        <f t="shared" si="60"/>
        <v>79.310344827586206</v>
      </c>
      <c r="CD49" s="10">
        <f t="shared" si="61"/>
        <v>20.689655172413794</v>
      </c>
      <c r="CE49" s="10">
        <f t="shared" si="62"/>
        <v>100</v>
      </c>
      <c r="CF49" s="10">
        <f t="shared" si="63"/>
        <v>0</v>
      </c>
      <c r="CG49" s="10">
        <f t="shared" si="30"/>
        <v>100</v>
      </c>
      <c r="CH49" s="10">
        <f t="shared" si="64"/>
        <v>100</v>
      </c>
      <c r="CI49" s="10">
        <f t="shared" si="65"/>
        <v>100</v>
      </c>
      <c r="CJ49" s="10">
        <f t="shared" si="66"/>
        <v>60.863605209047293</v>
      </c>
      <c r="CK49" s="10">
        <f t="shared" si="67"/>
        <v>36.46333104866347</v>
      </c>
      <c r="CL49" s="10">
        <f t="shared" si="68"/>
        <v>96.551724137931032</v>
      </c>
      <c r="CM49" s="10"/>
      <c r="CN49" s="10">
        <f t="shared" si="69"/>
        <v>100</v>
      </c>
      <c r="CO49" s="10">
        <f t="shared" si="70"/>
        <v>100</v>
      </c>
      <c r="CP49" s="10">
        <f t="shared" si="71"/>
        <v>100</v>
      </c>
      <c r="CQ49" s="10">
        <f t="shared" si="72"/>
        <v>100</v>
      </c>
      <c r="CR49" s="10">
        <f t="shared" si="73"/>
        <v>31.03448275862069</v>
      </c>
      <c r="CS49" s="10">
        <f t="shared" si="74"/>
        <v>68.965517241379317</v>
      </c>
    </row>
    <row r="50" spans="1:97">
      <c r="A50" s="8" t="s">
        <v>189</v>
      </c>
      <c r="B50" s="8" t="s">
        <v>199</v>
      </c>
      <c r="C50" s="21" t="s">
        <v>145</v>
      </c>
      <c r="D50" s="9">
        <v>39</v>
      </c>
      <c r="E50" s="9">
        <v>39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39</v>
      </c>
      <c r="L50" s="9">
        <v>39</v>
      </c>
      <c r="M50" s="9">
        <v>39</v>
      </c>
      <c r="N50" s="9">
        <v>39</v>
      </c>
      <c r="O50" s="9">
        <v>36</v>
      </c>
      <c r="P50" s="9">
        <v>0</v>
      </c>
      <c r="Q50" s="9">
        <v>0</v>
      </c>
      <c r="R50" s="9">
        <v>38</v>
      </c>
      <c r="S50" s="9">
        <v>32</v>
      </c>
      <c r="T50" s="9">
        <v>5</v>
      </c>
      <c r="U50" s="9">
        <v>34</v>
      </c>
      <c r="V50" s="9">
        <v>0</v>
      </c>
      <c r="W50" s="9">
        <v>35</v>
      </c>
      <c r="X50" s="9">
        <v>35</v>
      </c>
      <c r="Y50" s="9">
        <v>4</v>
      </c>
      <c r="Z50" s="9">
        <v>39</v>
      </c>
      <c r="AA50" s="9">
        <v>35</v>
      </c>
      <c r="AB50" s="9">
        <v>0</v>
      </c>
      <c r="AC50" s="9">
        <v>4</v>
      </c>
      <c r="AD50" s="9">
        <v>34</v>
      </c>
      <c r="AE50" s="9">
        <v>38</v>
      </c>
      <c r="AF50" s="9">
        <v>1</v>
      </c>
      <c r="AG50" s="9">
        <v>39</v>
      </c>
      <c r="AH50" s="9">
        <v>39</v>
      </c>
      <c r="AI50" s="9">
        <v>39</v>
      </c>
      <c r="AJ50" s="9">
        <v>49108</v>
      </c>
      <c r="AK50" s="9">
        <v>17950</v>
      </c>
      <c r="AL50" s="9">
        <v>196</v>
      </c>
      <c r="AM50" s="9">
        <v>28</v>
      </c>
      <c r="AN50" s="9">
        <v>0</v>
      </c>
      <c r="AO50" s="9">
        <v>35</v>
      </c>
      <c r="AP50" s="9">
        <v>32</v>
      </c>
      <c r="AQ50" s="9">
        <v>35</v>
      </c>
      <c r="AR50" s="9">
        <v>33</v>
      </c>
      <c r="AS50" s="9">
        <v>6</v>
      </c>
      <c r="AT50" s="9">
        <v>0</v>
      </c>
      <c r="AU50" s="9">
        <v>6</v>
      </c>
      <c r="AV50" s="9">
        <v>20</v>
      </c>
      <c r="AW50" s="9">
        <v>10</v>
      </c>
      <c r="AX50" s="9">
        <v>2</v>
      </c>
      <c r="AY50" s="9">
        <v>0</v>
      </c>
      <c r="AZ50" s="9">
        <v>1</v>
      </c>
      <c r="BA50" s="9">
        <v>0</v>
      </c>
      <c r="BB50" s="9">
        <v>39</v>
      </c>
      <c r="BC50" s="18"/>
      <c r="BD50" s="9"/>
      <c r="BE50" s="9"/>
      <c r="BF50" s="9"/>
      <c r="BG50" s="10">
        <f t="shared" si="42"/>
        <v>100</v>
      </c>
      <c r="BH50" s="10">
        <f t="shared" si="43"/>
        <v>0</v>
      </c>
      <c r="BI50" s="10" t="e">
        <f t="shared" si="44"/>
        <v>#DIV/0!</v>
      </c>
      <c r="BJ50" s="10" t="e">
        <f t="shared" si="45"/>
        <v>#DIV/0!</v>
      </c>
      <c r="BK50" s="10" t="e">
        <f t="shared" si="46"/>
        <v>#DIV/0!</v>
      </c>
      <c r="BL50" s="10" t="e">
        <f t="shared" si="47"/>
        <v>#DIV/0!</v>
      </c>
      <c r="BM50" s="10">
        <f t="shared" si="48"/>
        <v>100</v>
      </c>
      <c r="BN50" s="10">
        <f t="shared" si="49"/>
        <v>100</v>
      </c>
      <c r="BO50" s="10">
        <f t="shared" si="50"/>
        <v>100</v>
      </c>
      <c r="BP50" s="10">
        <f t="shared" si="15"/>
        <v>92.307692307692307</v>
      </c>
      <c r="BQ50" s="10">
        <f t="shared" si="51"/>
        <v>0</v>
      </c>
      <c r="BR50" s="10">
        <f t="shared" si="52"/>
        <v>97.435897435897431</v>
      </c>
      <c r="BS50" s="10">
        <f t="shared" si="18"/>
        <v>84.21052631578948</v>
      </c>
      <c r="BT50" s="10">
        <f t="shared" si="53"/>
        <v>12.820512820512821</v>
      </c>
      <c r="BU50" s="10">
        <f t="shared" si="54"/>
        <v>87.179487179487182</v>
      </c>
      <c r="BV50" s="10">
        <f t="shared" si="55"/>
        <v>0</v>
      </c>
      <c r="BW50" s="10">
        <f t="shared" si="55"/>
        <v>89.743589743589737</v>
      </c>
      <c r="BX50" s="10">
        <f t="shared" si="55"/>
        <v>89.743589743589737</v>
      </c>
      <c r="BY50" s="10">
        <f t="shared" si="56"/>
        <v>10.256410256410257</v>
      </c>
      <c r="BZ50" s="10">
        <f t="shared" si="57"/>
        <v>100</v>
      </c>
      <c r="CA50" s="10">
        <f t="shared" si="58"/>
        <v>89.743589743589737</v>
      </c>
      <c r="CB50" s="10">
        <f t="shared" si="59"/>
        <v>0</v>
      </c>
      <c r="CC50" s="10">
        <f t="shared" si="60"/>
        <v>10.256410256410257</v>
      </c>
      <c r="CD50" s="10">
        <f t="shared" si="61"/>
        <v>87.179487179487182</v>
      </c>
      <c r="CE50" s="10">
        <f t="shared" si="62"/>
        <v>97.435897435897431</v>
      </c>
      <c r="CF50" s="10">
        <f t="shared" si="63"/>
        <v>2.5641025641025643</v>
      </c>
      <c r="CG50" s="10">
        <f t="shared" si="30"/>
        <v>100</v>
      </c>
      <c r="CH50" s="10">
        <f t="shared" si="64"/>
        <v>100</v>
      </c>
      <c r="CI50" s="10">
        <f t="shared" si="65"/>
        <v>100</v>
      </c>
      <c r="CJ50" s="10">
        <f t="shared" si="66"/>
        <v>36.552089272623604</v>
      </c>
      <c r="CK50" s="10">
        <f t="shared" si="67"/>
        <v>0.39912030626374523</v>
      </c>
      <c r="CL50" s="10">
        <f t="shared" si="68"/>
        <v>71.794871794871796</v>
      </c>
      <c r="CM50" s="10"/>
      <c r="CN50" s="10">
        <f t="shared" si="69"/>
        <v>89.743589743589737</v>
      </c>
      <c r="CO50" s="10">
        <f t="shared" si="70"/>
        <v>82.051282051282058</v>
      </c>
      <c r="CP50" s="10">
        <f t="shared" si="71"/>
        <v>89.743589743589737</v>
      </c>
      <c r="CQ50" s="10">
        <f t="shared" si="72"/>
        <v>84.615384615384613</v>
      </c>
      <c r="CR50" s="10">
        <f t="shared" si="73"/>
        <v>0</v>
      </c>
      <c r="CS50" s="10">
        <f t="shared" si="74"/>
        <v>100</v>
      </c>
    </row>
    <row r="51" spans="1:97">
      <c r="A51" s="8" t="s">
        <v>189</v>
      </c>
      <c r="B51" s="8" t="s">
        <v>200</v>
      </c>
      <c r="C51" s="21" t="s">
        <v>145</v>
      </c>
      <c r="D51" s="9">
        <v>34</v>
      </c>
      <c r="E51" s="9">
        <v>30</v>
      </c>
      <c r="F51" s="9">
        <v>4</v>
      </c>
      <c r="G51" s="9">
        <v>1</v>
      </c>
      <c r="H51" s="9">
        <v>0</v>
      </c>
      <c r="I51" s="9">
        <v>2</v>
      </c>
      <c r="J51" s="9">
        <v>1</v>
      </c>
      <c r="K51" s="9">
        <v>30</v>
      </c>
      <c r="L51" s="9">
        <v>30</v>
      </c>
      <c r="M51" s="9">
        <v>30</v>
      </c>
      <c r="N51" s="9">
        <v>30</v>
      </c>
      <c r="O51" s="9">
        <v>30</v>
      </c>
      <c r="P51" s="9">
        <v>0</v>
      </c>
      <c r="Q51" s="9">
        <v>0</v>
      </c>
      <c r="R51" s="9">
        <v>27</v>
      </c>
      <c r="S51" s="9">
        <v>24</v>
      </c>
      <c r="T51" s="9">
        <v>13</v>
      </c>
      <c r="U51" s="9">
        <v>17</v>
      </c>
      <c r="V51" s="9">
        <v>0</v>
      </c>
      <c r="W51" s="9">
        <v>14</v>
      </c>
      <c r="X51" s="9">
        <v>12</v>
      </c>
      <c r="Y51" s="9">
        <v>15</v>
      </c>
      <c r="Z51" s="9">
        <v>29</v>
      </c>
      <c r="AA51" s="9">
        <v>14</v>
      </c>
      <c r="AB51" s="9">
        <v>1</v>
      </c>
      <c r="AC51" s="9">
        <v>19</v>
      </c>
      <c r="AD51" s="9">
        <v>10</v>
      </c>
      <c r="AE51" s="9">
        <v>29</v>
      </c>
      <c r="AF51" s="9">
        <v>1</v>
      </c>
      <c r="AG51" s="9">
        <v>30</v>
      </c>
      <c r="AH51" s="9">
        <v>30</v>
      </c>
      <c r="AI51" s="9">
        <v>30</v>
      </c>
      <c r="AJ51" s="9">
        <v>1352</v>
      </c>
      <c r="AK51" s="9">
        <v>611</v>
      </c>
      <c r="AL51" s="9">
        <v>68</v>
      </c>
      <c r="AM51" s="9">
        <v>11</v>
      </c>
      <c r="AN51" s="9">
        <v>0</v>
      </c>
      <c r="AO51" s="9">
        <v>25</v>
      </c>
      <c r="AP51" s="9">
        <v>22</v>
      </c>
      <c r="AQ51" s="9">
        <v>25</v>
      </c>
      <c r="AR51" s="9">
        <v>21</v>
      </c>
      <c r="AS51" s="9">
        <v>8</v>
      </c>
      <c r="AT51" s="9">
        <v>6</v>
      </c>
      <c r="AU51" s="9">
        <v>11</v>
      </c>
      <c r="AV51" s="9">
        <v>2</v>
      </c>
      <c r="AW51" s="9">
        <v>6</v>
      </c>
      <c r="AX51" s="9">
        <v>4</v>
      </c>
      <c r="AY51" s="9">
        <v>1</v>
      </c>
      <c r="AZ51" s="9">
        <v>0</v>
      </c>
      <c r="BA51" s="9">
        <v>0</v>
      </c>
      <c r="BB51" s="9">
        <v>24</v>
      </c>
      <c r="BC51" s="18"/>
      <c r="BD51" s="9"/>
      <c r="BE51" s="9"/>
      <c r="BF51" s="9"/>
      <c r="BG51" s="10">
        <f t="shared" si="42"/>
        <v>88.235294117647058</v>
      </c>
      <c r="BH51" s="10">
        <f t="shared" si="43"/>
        <v>11.764705882352942</v>
      </c>
      <c r="BI51" s="10">
        <f t="shared" si="44"/>
        <v>25</v>
      </c>
      <c r="BJ51" s="10">
        <f t="shared" si="45"/>
        <v>0</v>
      </c>
      <c r="BK51" s="10">
        <f t="shared" si="46"/>
        <v>50</v>
      </c>
      <c r="BL51" s="10">
        <f t="shared" si="47"/>
        <v>25</v>
      </c>
      <c r="BM51" s="10">
        <f t="shared" si="48"/>
        <v>100</v>
      </c>
      <c r="BN51" s="10">
        <f t="shared" si="49"/>
        <v>100</v>
      </c>
      <c r="BO51" s="10">
        <f t="shared" si="50"/>
        <v>100</v>
      </c>
      <c r="BP51" s="10">
        <f t="shared" si="15"/>
        <v>100</v>
      </c>
      <c r="BQ51" s="10">
        <f t="shared" si="51"/>
        <v>0</v>
      </c>
      <c r="BR51" s="10">
        <f t="shared" si="52"/>
        <v>90</v>
      </c>
      <c r="BS51" s="10">
        <f t="shared" si="18"/>
        <v>88.888888888888886</v>
      </c>
      <c r="BT51" s="10">
        <f t="shared" si="53"/>
        <v>43.333333333333336</v>
      </c>
      <c r="BU51" s="10">
        <f t="shared" si="54"/>
        <v>56.666666666666664</v>
      </c>
      <c r="BV51" s="10">
        <f t="shared" si="55"/>
        <v>0</v>
      </c>
      <c r="BW51" s="10">
        <f t="shared" si="55"/>
        <v>46.666666666666664</v>
      </c>
      <c r="BX51" s="10">
        <f t="shared" si="55"/>
        <v>40</v>
      </c>
      <c r="BY51" s="10">
        <f t="shared" si="56"/>
        <v>50</v>
      </c>
      <c r="BZ51" s="10">
        <f t="shared" si="57"/>
        <v>96.666666666666671</v>
      </c>
      <c r="CA51" s="10">
        <f t="shared" si="58"/>
        <v>46.666666666666664</v>
      </c>
      <c r="CB51" s="10">
        <f t="shared" si="59"/>
        <v>3.3333333333333335</v>
      </c>
      <c r="CC51" s="10">
        <f t="shared" si="60"/>
        <v>63.333333333333336</v>
      </c>
      <c r="CD51" s="10">
        <f t="shared" si="61"/>
        <v>33.333333333333336</v>
      </c>
      <c r="CE51" s="10">
        <f t="shared" si="62"/>
        <v>96.666666666666671</v>
      </c>
      <c r="CF51" s="10">
        <f t="shared" si="63"/>
        <v>3.3333333333333335</v>
      </c>
      <c r="CG51" s="10">
        <f t="shared" si="30"/>
        <v>100</v>
      </c>
      <c r="CH51" s="10">
        <f t="shared" si="64"/>
        <v>100</v>
      </c>
      <c r="CI51" s="10">
        <f t="shared" si="65"/>
        <v>100</v>
      </c>
      <c r="CJ51" s="10">
        <f t="shared" si="66"/>
        <v>45.192307692307693</v>
      </c>
      <c r="CK51" s="10">
        <f t="shared" si="67"/>
        <v>5.0295857988165684</v>
      </c>
      <c r="CL51" s="10">
        <f t="shared" si="68"/>
        <v>36.666666666666664</v>
      </c>
      <c r="CM51" s="10"/>
      <c r="CN51" s="10">
        <f t="shared" si="69"/>
        <v>83.333333333333329</v>
      </c>
      <c r="CO51" s="10">
        <f t="shared" si="70"/>
        <v>73.333333333333329</v>
      </c>
      <c r="CP51" s="10">
        <f t="shared" si="71"/>
        <v>83.333333333333329</v>
      </c>
      <c r="CQ51" s="10">
        <f t="shared" si="72"/>
        <v>72.41379310344827</v>
      </c>
      <c r="CR51" s="10">
        <f t="shared" si="73"/>
        <v>20</v>
      </c>
      <c r="CS51" s="10">
        <f t="shared" si="74"/>
        <v>80</v>
      </c>
    </row>
    <row r="52" spans="1:97">
      <c r="A52" s="8" t="s">
        <v>189</v>
      </c>
      <c r="B52" s="8" t="s">
        <v>201</v>
      </c>
      <c r="C52" s="21" t="s">
        <v>145</v>
      </c>
      <c r="D52" s="9">
        <v>29</v>
      </c>
      <c r="E52" s="9">
        <v>29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29</v>
      </c>
      <c r="L52" s="9">
        <v>29</v>
      </c>
      <c r="M52" s="9">
        <v>29</v>
      </c>
      <c r="N52" s="9">
        <v>28</v>
      </c>
      <c r="O52" s="9">
        <v>29</v>
      </c>
      <c r="P52" s="9">
        <v>0</v>
      </c>
      <c r="Q52" s="9">
        <v>0</v>
      </c>
      <c r="R52" s="9">
        <v>29</v>
      </c>
      <c r="S52" s="9">
        <v>29</v>
      </c>
      <c r="T52" s="9">
        <v>26</v>
      </c>
      <c r="U52" s="9">
        <v>3</v>
      </c>
      <c r="V52" s="9">
        <v>0</v>
      </c>
      <c r="W52" s="9">
        <v>5</v>
      </c>
      <c r="X52" s="9">
        <v>2</v>
      </c>
      <c r="Y52" s="9">
        <v>24</v>
      </c>
      <c r="Z52" s="9">
        <v>29</v>
      </c>
      <c r="AA52" s="9">
        <v>5</v>
      </c>
      <c r="AB52" s="9">
        <v>0</v>
      </c>
      <c r="AC52" s="9">
        <v>23</v>
      </c>
      <c r="AD52" s="9">
        <v>6</v>
      </c>
      <c r="AE52" s="9">
        <v>29</v>
      </c>
      <c r="AF52" s="9">
        <v>0</v>
      </c>
      <c r="AG52" s="9">
        <v>29</v>
      </c>
      <c r="AH52" s="9">
        <v>29</v>
      </c>
      <c r="AI52" s="9">
        <v>29</v>
      </c>
      <c r="AJ52" s="9">
        <v>1456</v>
      </c>
      <c r="AK52" s="9">
        <v>1123</v>
      </c>
      <c r="AL52" s="9">
        <v>60</v>
      </c>
      <c r="AM52" s="9">
        <v>21</v>
      </c>
      <c r="AN52" s="9">
        <v>1</v>
      </c>
      <c r="AO52" s="9">
        <v>27</v>
      </c>
      <c r="AP52" s="9">
        <v>28</v>
      </c>
      <c r="AQ52" s="9">
        <v>27</v>
      </c>
      <c r="AR52" s="9">
        <v>29</v>
      </c>
      <c r="AS52" s="9">
        <v>0</v>
      </c>
      <c r="AT52" s="9">
        <v>0</v>
      </c>
      <c r="AU52" s="9">
        <v>0</v>
      </c>
      <c r="AV52" s="9">
        <v>17</v>
      </c>
      <c r="AW52" s="9">
        <v>11</v>
      </c>
      <c r="AX52" s="9">
        <v>1</v>
      </c>
      <c r="AY52" s="9">
        <v>0</v>
      </c>
      <c r="AZ52" s="9">
        <v>0</v>
      </c>
      <c r="BA52" s="9">
        <v>0</v>
      </c>
      <c r="BB52" s="9">
        <v>29</v>
      </c>
      <c r="BC52" s="18"/>
      <c r="BD52" s="9"/>
      <c r="BE52" s="9"/>
      <c r="BF52" s="9"/>
      <c r="BG52" s="10">
        <f t="shared" si="42"/>
        <v>100</v>
      </c>
      <c r="BH52" s="10">
        <f t="shared" si="43"/>
        <v>0</v>
      </c>
      <c r="BI52" s="10" t="e">
        <f t="shared" si="44"/>
        <v>#DIV/0!</v>
      </c>
      <c r="BJ52" s="10" t="e">
        <f t="shared" si="45"/>
        <v>#DIV/0!</v>
      </c>
      <c r="BK52" s="10" t="e">
        <f t="shared" si="46"/>
        <v>#DIV/0!</v>
      </c>
      <c r="BL52" s="10" t="e">
        <f t="shared" si="47"/>
        <v>#DIV/0!</v>
      </c>
      <c r="BM52" s="10">
        <f t="shared" si="48"/>
        <v>100</v>
      </c>
      <c r="BN52" s="10">
        <f t="shared" si="49"/>
        <v>100</v>
      </c>
      <c r="BO52" s="10">
        <f t="shared" si="50"/>
        <v>96.551724137931032</v>
      </c>
      <c r="BP52" s="10">
        <f t="shared" si="15"/>
        <v>100</v>
      </c>
      <c r="BQ52" s="10">
        <f t="shared" si="51"/>
        <v>0</v>
      </c>
      <c r="BR52" s="10">
        <f t="shared" si="52"/>
        <v>100</v>
      </c>
      <c r="BS52" s="10">
        <f t="shared" si="18"/>
        <v>100</v>
      </c>
      <c r="BT52" s="10">
        <f t="shared" si="53"/>
        <v>89.65517241379311</v>
      </c>
      <c r="BU52" s="10">
        <f t="shared" si="54"/>
        <v>10.344827586206897</v>
      </c>
      <c r="BV52" s="10">
        <f t="shared" si="55"/>
        <v>0</v>
      </c>
      <c r="BW52" s="10">
        <f t="shared" si="55"/>
        <v>17.241379310344829</v>
      </c>
      <c r="BX52" s="10">
        <f t="shared" si="55"/>
        <v>6.8965517241379306</v>
      </c>
      <c r="BY52" s="10">
        <f t="shared" si="56"/>
        <v>82.758620689655174</v>
      </c>
      <c r="BZ52" s="10">
        <f t="shared" si="57"/>
        <v>100</v>
      </c>
      <c r="CA52" s="10">
        <f t="shared" si="58"/>
        <v>17.241379310344829</v>
      </c>
      <c r="CB52" s="10">
        <f t="shared" si="59"/>
        <v>0</v>
      </c>
      <c r="CC52" s="10">
        <f t="shared" si="60"/>
        <v>79.310344827586206</v>
      </c>
      <c r="CD52" s="10">
        <f t="shared" si="61"/>
        <v>20.689655172413794</v>
      </c>
      <c r="CE52" s="10">
        <f t="shared" si="62"/>
        <v>100</v>
      </c>
      <c r="CF52" s="10">
        <f t="shared" si="63"/>
        <v>0</v>
      </c>
      <c r="CG52" s="10">
        <f t="shared" si="30"/>
        <v>100</v>
      </c>
      <c r="CH52" s="10">
        <f t="shared" si="64"/>
        <v>100</v>
      </c>
      <c r="CI52" s="10">
        <f t="shared" si="65"/>
        <v>100</v>
      </c>
      <c r="CJ52" s="10">
        <f t="shared" si="66"/>
        <v>77.129120879120876</v>
      </c>
      <c r="CK52" s="10">
        <f t="shared" si="67"/>
        <v>4.1208791208791204</v>
      </c>
      <c r="CL52" s="10">
        <f t="shared" si="68"/>
        <v>72.41379310344827</v>
      </c>
      <c r="CM52" s="10"/>
      <c r="CN52" s="10">
        <f t="shared" si="69"/>
        <v>93.103448275862064</v>
      </c>
      <c r="CO52" s="10">
        <f t="shared" si="70"/>
        <v>96.551724137931032</v>
      </c>
      <c r="CP52" s="10">
        <f t="shared" si="71"/>
        <v>93.103448275862064</v>
      </c>
      <c r="CQ52" s="10">
        <f t="shared" si="72"/>
        <v>100</v>
      </c>
      <c r="CR52" s="10">
        <f t="shared" si="73"/>
        <v>0</v>
      </c>
      <c r="CS52" s="10">
        <f t="shared" si="74"/>
        <v>100</v>
      </c>
    </row>
    <row r="53" spans="1:97">
      <c r="A53" s="22" t="s">
        <v>202</v>
      </c>
      <c r="B53" s="22"/>
      <c r="C53" s="23" t="s">
        <v>145</v>
      </c>
      <c r="D53" s="24">
        <v>404</v>
      </c>
      <c r="E53" s="24">
        <v>366</v>
      </c>
      <c r="F53" s="24">
        <v>38</v>
      </c>
      <c r="G53" s="24">
        <v>22</v>
      </c>
      <c r="H53" s="24">
        <v>0</v>
      </c>
      <c r="I53" s="24">
        <v>2</v>
      </c>
      <c r="J53" s="44">
        <v>14</v>
      </c>
      <c r="K53" s="24">
        <v>358</v>
      </c>
      <c r="L53" s="24">
        <v>357</v>
      </c>
      <c r="M53" s="24">
        <v>343</v>
      </c>
      <c r="N53" s="24">
        <v>356</v>
      </c>
      <c r="O53" s="24">
        <v>338</v>
      </c>
      <c r="P53" s="24">
        <v>0</v>
      </c>
      <c r="Q53" s="24">
        <v>0</v>
      </c>
      <c r="R53" s="24">
        <v>280</v>
      </c>
      <c r="S53" s="24">
        <v>242</v>
      </c>
      <c r="T53" s="24">
        <v>222</v>
      </c>
      <c r="U53" s="24">
        <v>123</v>
      </c>
      <c r="V53" s="24">
        <v>13</v>
      </c>
      <c r="W53" s="24">
        <v>158</v>
      </c>
      <c r="X53" s="24">
        <v>134</v>
      </c>
      <c r="Y53" s="24">
        <v>226</v>
      </c>
      <c r="Z53" s="24">
        <v>354</v>
      </c>
      <c r="AA53" s="24">
        <v>128</v>
      </c>
      <c r="AB53" s="24">
        <v>4</v>
      </c>
      <c r="AC53" s="24">
        <v>211</v>
      </c>
      <c r="AD53" s="24">
        <v>144</v>
      </c>
      <c r="AE53" s="24">
        <v>355</v>
      </c>
      <c r="AF53" s="24">
        <v>3</v>
      </c>
      <c r="AG53" s="24">
        <v>357</v>
      </c>
      <c r="AH53" s="24">
        <v>358</v>
      </c>
      <c r="AI53" s="24">
        <v>357</v>
      </c>
      <c r="AJ53" s="24">
        <v>72420</v>
      </c>
      <c r="AK53" s="24">
        <v>32699</v>
      </c>
      <c r="AL53" s="24">
        <v>3203</v>
      </c>
      <c r="AM53" s="24">
        <v>227</v>
      </c>
      <c r="AN53" s="24">
        <v>5</v>
      </c>
      <c r="AO53" s="24">
        <v>310</v>
      </c>
      <c r="AP53" s="24">
        <v>235</v>
      </c>
      <c r="AQ53" s="24">
        <v>310</v>
      </c>
      <c r="AR53" s="24">
        <v>263</v>
      </c>
      <c r="AS53" s="24">
        <v>77</v>
      </c>
      <c r="AT53" s="24">
        <v>63</v>
      </c>
      <c r="AU53" s="24">
        <v>92</v>
      </c>
      <c r="AV53" s="24">
        <v>92</v>
      </c>
      <c r="AW53" s="24">
        <v>61</v>
      </c>
      <c r="AX53" s="24">
        <v>15</v>
      </c>
      <c r="AY53" s="24">
        <v>12</v>
      </c>
      <c r="AZ53" s="24">
        <v>9</v>
      </c>
      <c r="BA53" s="24">
        <v>12</v>
      </c>
      <c r="BB53" s="24">
        <v>295</v>
      </c>
      <c r="BC53" s="25"/>
      <c r="BD53" s="24"/>
      <c r="BE53" s="24"/>
      <c r="BF53" s="24"/>
      <c r="BG53" s="26">
        <f t="shared" si="42"/>
        <v>90.594059405940598</v>
      </c>
      <c r="BH53" s="26">
        <f t="shared" si="43"/>
        <v>9.4059405940594054</v>
      </c>
      <c r="BI53" s="26">
        <f t="shared" si="44"/>
        <v>57.89473684210526</v>
      </c>
      <c r="BJ53" s="26">
        <f t="shared" si="45"/>
        <v>0</v>
      </c>
      <c r="BK53" s="26">
        <f t="shared" si="46"/>
        <v>5.2631578947368425</v>
      </c>
      <c r="BL53" s="26">
        <f t="shared" si="47"/>
        <v>36.842105263157897</v>
      </c>
      <c r="BM53" s="26">
        <f t="shared" si="48"/>
        <v>99.720670391061446</v>
      </c>
      <c r="BN53" s="26">
        <f t="shared" si="49"/>
        <v>95.810055865921782</v>
      </c>
      <c r="BO53" s="26">
        <f t="shared" si="50"/>
        <v>99.441340782122907</v>
      </c>
      <c r="BP53" s="26">
        <f t="shared" si="15"/>
        <v>94.413407821229043</v>
      </c>
      <c r="BQ53" s="26">
        <f t="shared" si="51"/>
        <v>0</v>
      </c>
      <c r="BR53" s="26">
        <f t="shared" si="52"/>
        <v>78.212290502793294</v>
      </c>
      <c r="BS53" s="26">
        <f t="shared" si="18"/>
        <v>86.428571428571431</v>
      </c>
      <c r="BT53" s="26">
        <f t="shared" si="53"/>
        <v>62.011173184357538</v>
      </c>
      <c r="BU53" s="26">
        <f t="shared" si="54"/>
        <v>34.357541899441344</v>
      </c>
      <c r="BV53" s="26">
        <f t="shared" si="55"/>
        <v>3.6312849162011172</v>
      </c>
      <c r="BW53" s="26">
        <f t="shared" si="55"/>
        <v>44.134078212290504</v>
      </c>
      <c r="BX53" s="26">
        <f t="shared" si="55"/>
        <v>37.430167597765362</v>
      </c>
      <c r="BY53" s="26">
        <f t="shared" si="56"/>
        <v>63.128491620111731</v>
      </c>
      <c r="BZ53" s="26">
        <f t="shared" si="57"/>
        <v>98.882681564245814</v>
      </c>
      <c r="CA53" s="26">
        <f t="shared" si="58"/>
        <v>35.754189944134076</v>
      </c>
      <c r="CB53" s="26">
        <f t="shared" si="59"/>
        <v>1.1173184357541899</v>
      </c>
      <c r="CC53" s="26">
        <f t="shared" si="60"/>
        <v>58.938547486033521</v>
      </c>
      <c r="CD53" s="26">
        <f t="shared" si="61"/>
        <v>40.22346368715084</v>
      </c>
      <c r="CE53" s="26">
        <f t="shared" si="62"/>
        <v>99.162011173184354</v>
      </c>
      <c r="CF53" s="26">
        <f t="shared" si="63"/>
        <v>0.83798882681564246</v>
      </c>
      <c r="CG53" s="26">
        <f t="shared" si="30"/>
        <v>99.720670391061446</v>
      </c>
      <c r="CH53" s="26">
        <f t="shared" si="64"/>
        <v>100</v>
      </c>
      <c r="CI53" s="26">
        <f t="shared" si="65"/>
        <v>99.720670391061446</v>
      </c>
      <c r="CJ53" s="26">
        <f t="shared" si="66"/>
        <v>45.151891742612541</v>
      </c>
      <c r="CK53" s="26">
        <f t="shared" si="67"/>
        <v>4.4228113780723559</v>
      </c>
      <c r="CL53" s="26">
        <f t="shared" si="68"/>
        <v>63.407821229050278</v>
      </c>
      <c r="CM53" s="26"/>
      <c r="CN53" s="26">
        <f t="shared" si="69"/>
        <v>86.592178770949715</v>
      </c>
      <c r="CO53" s="26">
        <f t="shared" si="70"/>
        <v>65.642458100558656</v>
      </c>
      <c r="CP53" s="26">
        <f t="shared" si="71"/>
        <v>86.592178770949715</v>
      </c>
      <c r="CQ53" s="26">
        <f t="shared" si="72"/>
        <v>77.352941176470594</v>
      </c>
      <c r="CR53" s="26">
        <f t="shared" si="73"/>
        <v>17.597765363128492</v>
      </c>
      <c r="CS53" s="26">
        <f t="shared" si="74"/>
        <v>82.402234636871512</v>
      </c>
    </row>
    <row r="54" spans="1:97">
      <c r="A54" s="8" t="s">
        <v>203</v>
      </c>
      <c r="B54" s="8" t="s">
        <v>204</v>
      </c>
      <c r="C54" s="21" t="s">
        <v>145</v>
      </c>
      <c r="D54" s="9">
        <v>28</v>
      </c>
      <c r="E54" s="9">
        <v>25</v>
      </c>
      <c r="F54" s="9">
        <v>3</v>
      </c>
      <c r="G54" s="9">
        <v>2</v>
      </c>
      <c r="H54" s="9">
        <v>0</v>
      </c>
      <c r="I54" s="9">
        <v>0</v>
      </c>
      <c r="J54" s="9">
        <v>1</v>
      </c>
      <c r="K54" s="9">
        <v>25</v>
      </c>
      <c r="L54" s="9">
        <v>0</v>
      </c>
      <c r="M54" s="9">
        <v>25</v>
      </c>
      <c r="N54" s="9">
        <v>25</v>
      </c>
      <c r="O54" s="9">
        <v>24</v>
      </c>
      <c r="P54" s="9">
        <v>0</v>
      </c>
      <c r="Q54" s="9">
        <v>0</v>
      </c>
      <c r="R54" s="9">
        <v>23</v>
      </c>
      <c r="S54" s="9">
        <v>23</v>
      </c>
      <c r="T54" s="9">
        <v>0</v>
      </c>
      <c r="U54" s="9">
        <v>25</v>
      </c>
      <c r="V54" s="9">
        <v>0</v>
      </c>
      <c r="W54" s="9">
        <v>7</v>
      </c>
      <c r="X54" s="9">
        <v>7</v>
      </c>
      <c r="Y54" s="9">
        <v>0</v>
      </c>
      <c r="Z54" s="9">
        <v>25</v>
      </c>
      <c r="AA54" s="9">
        <v>25</v>
      </c>
      <c r="AB54" s="9">
        <v>0</v>
      </c>
      <c r="AC54" s="9">
        <v>1</v>
      </c>
      <c r="AD54" s="9">
        <v>24</v>
      </c>
      <c r="AE54" s="9">
        <v>25</v>
      </c>
      <c r="AF54" s="9">
        <v>0</v>
      </c>
      <c r="AG54" s="9">
        <v>25</v>
      </c>
      <c r="AH54" s="9">
        <v>25</v>
      </c>
      <c r="AI54" s="9">
        <v>25</v>
      </c>
      <c r="AJ54" s="9">
        <v>1845</v>
      </c>
      <c r="AK54" s="9">
        <v>518</v>
      </c>
      <c r="AL54" s="9">
        <v>46</v>
      </c>
      <c r="AM54" s="9">
        <v>9</v>
      </c>
      <c r="AN54" s="9">
        <v>0</v>
      </c>
      <c r="AO54" s="9">
        <v>25</v>
      </c>
      <c r="AP54" s="9">
        <v>25</v>
      </c>
      <c r="AQ54" s="9">
        <v>25</v>
      </c>
      <c r="AR54" s="9">
        <v>22</v>
      </c>
      <c r="AS54" s="9">
        <v>0</v>
      </c>
      <c r="AT54" s="9">
        <v>3</v>
      </c>
      <c r="AU54" s="9">
        <v>4</v>
      </c>
      <c r="AV54" s="9">
        <v>4</v>
      </c>
      <c r="AW54" s="9">
        <v>3</v>
      </c>
      <c r="AX54" s="9">
        <v>8</v>
      </c>
      <c r="AY54" s="9">
        <v>3</v>
      </c>
      <c r="AZ54" s="9">
        <v>0</v>
      </c>
      <c r="BA54" s="9">
        <v>0</v>
      </c>
      <c r="BB54" s="9">
        <v>22</v>
      </c>
      <c r="BC54" s="18"/>
      <c r="BD54" s="9"/>
      <c r="BE54" s="9"/>
      <c r="BF54" s="9"/>
      <c r="BG54" s="10">
        <f t="shared" si="42"/>
        <v>89.285714285714292</v>
      </c>
      <c r="BH54" s="10">
        <f t="shared" si="43"/>
        <v>10.714285714285714</v>
      </c>
      <c r="BI54" s="10">
        <f t="shared" si="44"/>
        <v>66.666666666666671</v>
      </c>
      <c r="BJ54" s="10">
        <f t="shared" si="45"/>
        <v>0</v>
      </c>
      <c r="BK54" s="10">
        <f t="shared" si="46"/>
        <v>0</v>
      </c>
      <c r="BL54" s="10">
        <f t="shared" si="47"/>
        <v>33.333333333333336</v>
      </c>
      <c r="BM54" s="10">
        <f t="shared" si="48"/>
        <v>0</v>
      </c>
      <c r="BN54" s="10">
        <f t="shared" si="49"/>
        <v>100</v>
      </c>
      <c r="BO54" s="10">
        <f t="shared" si="50"/>
        <v>100</v>
      </c>
      <c r="BP54" s="10">
        <f t="shared" si="15"/>
        <v>96</v>
      </c>
      <c r="BQ54" s="10">
        <f t="shared" si="51"/>
        <v>0</v>
      </c>
      <c r="BR54" s="10">
        <f t="shared" si="52"/>
        <v>92</v>
      </c>
      <c r="BS54" s="10">
        <f t="shared" si="18"/>
        <v>100</v>
      </c>
      <c r="BT54" s="10">
        <f t="shared" si="53"/>
        <v>0</v>
      </c>
      <c r="BU54" s="10">
        <f t="shared" si="54"/>
        <v>100</v>
      </c>
      <c r="BV54" s="10">
        <f t="shared" si="55"/>
        <v>0</v>
      </c>
      <c r="BW54" s="10">
        <f t="shared" si="55"/>
        <v>28</v>
      </c>
      <c r="BX54" s="10">
        <f t="shared" si="55"/>
        <v>28</v>
      </c>
      <c r="BY54" s="10">
        <f t="shared" si="56"/>
        <v>0</v>
      </c>
      <c r="BZ54" s="10">
        <f t="shared" si="57"/>
        <v>100</v>
      </c>
      <c r="CA54" s="10">
        <f t="shared" si="58"/>
        <v>100</v>
      </c>
      <c r="CB54" s="10">
        <f t="shared" si="59"/>
        <v>0</v>
      </c>
      <c r="CC54" s="10">
        <f t="shared" si="60"/>
        <v>4</v>
      </c>
      <c r="CD54" s="10">
        <f t="shared" si="61"/>
        <v>96</v>
      </c>
      <c r="CE54" s="10">
        <f t="shared" si="62"/>
        <v>100</v>
      </c>
      <c r="CF54" s="10">
        <f t="shared" si="63"/>
        <v>0</v>
      </c>
      <c r="CG54" s="10">
        <f t="shared" si="30"/>
        <v>100</v>
      </c>
      <c r="CH54" s="10">
        <f t="shared" si="64"/>
        <v>100</v>
      </c>
      <c r="CI54" s="10">
        <f t="shared" si="65"/>
        <v>100</v>
      </c>
      <c r="CJ54" s="10">
        <f t="shared" si="66"/>
        <v>28.075880758807589</v>
      </c>
      <c r="CK54" s="10">
        <f t="shared" si="67"/>
        <v>2.4932249322493223</v>
      </c>
      <c r="CL54" s="10">
        <f t="shared" si="68"/>
        <v>36</v>
      </c>
      <c r="CM54" s="10"/>
      <c r="CN54" s="10">
        <f t="shared" si="69"/>
        <v>100</v>
      </c>
      <c r="CO54" s="10">
        <f t="shared" si="70"/>
        <v>100</v>
      </c>
      <c r="CP54" s="10">
        <f t="shared" si="71"/>
        <v>100</v>
      </c>
      <c r="CQ54" s="10">
        <f t="shared" si="72"/>
        <v>100</v>
      </c>
      <c r="CR54" s="10">
        <f t="shared" si="73"/>
        <v>12</v>
      </c>
      <c r="CS54" s="10">
        <f t="shared" si="74"/>
        <v>88</v>
      </c>
    </row>
    <row r="55" spans="1:97">
      <c r="A55" s="22" t="s">
        <v>205</v>
      </c>
      <c r="B55" s="22"/>
      <c r="C55" s="23" t="s">
        <v>145</v>
      </c>
      <c r="D55" s="24">
        <v>28</v>
      </c>
      <c r="E55" s="24">
        <v>25</v>
      </c>
      <c r="F55" s="24">
        <v>3</v>
      </c>
      <c r="G55" s="24">
        <v>2</v>
      </c>
      <c r="H55" s="24">
        <v>0</v>
      </c>
      <c r="I55" s="24">
        <v>0</v>
      </c>
      <c r="J55" s="24">
        <v>1</v>
      </c>
      <c r="K55" s="24">
        <v>25</v>
      </c>
      <c r="L55" s="24">
        <v>0</v>
      </c>
      <c r="M55" s="24">
        <v>25</v>
      </c>
      <c r="N55" s="24">
        <v>25</v>
      </c>
      <c r="O55" s="24">
        <v>24</v>
      </c>
      <c r="P55" s="24">
        <v>0</v>
      </c>
      <c r="Q55" s="24">
        <v>0</v>
      </c>
      <c r="R55" s="24">
        <v>23</v>
      </c>
      <c r="S55" s="24">
        <v>23</v>
      </c>
      <c r="T55" s="24">
        <v>0</v>
      </c>
      <c r="U55" s="24">
        <v>25</v>
      </c>
      <c r="V55" s="24">
        <v>0</v>
      </c>
      <c r="W55" s="24">
        <v>7</v>
      </c>
      <c r="X55" s="24">
        <v>7</v>
      </c>
      <c r="Y55" s="24">
        <v>0</v>
      </c>
      <c r="Z55" s="24">
        <v>25</v>
      </c>
      <c r="AA55" s="24">
        <v>25</v>
      </c>
      <c r="AB55" s="24">
        <v>0</v>
      </c>
      <c r="AC55" s="24">
        <v>1</v>
      </c>
      <c r="AD55" s="24">
        <v>24</v>
      </c>
      <c r="AE55" s="24">
        <v>25</v>
      </c>
      <c r="AF55" s="24">
        <v>0</v>
      </c>
      <c r="AG55" s="24">
        <v>25</v>
      </c>
      <c r="AH55" s="24">
        <v>25</v>
      </c>
      <c r="AI55" s="24">
        <v>25</v>
      </c>
      <c r="AJ55" s="24">
        <v>1845</v>
      </c>
      <c r="AK55" s="24">
        <v>518</v>
      </c>
      <c r="AL55" s="24">
        <v>46</v>
      </c>
      <c r="AM55" s="24">
        <v>9</v>
      </c>
      <c r="AN55" s="24">
        <v>0</v>
      </c>
      <c r="AO55" s="24">
        <v>25</v>
      </c>
      <c r="AP55" s="24">
        <v>25</v>
      </c>
      <c r="AQ55" s="24">
        <v>25</v>
      </c>
      <c r="AR55" s="24">
        <v>22</v>
      </c>
      <c r="AS55" s="24">
        <v>0</v>
      </c>
      <c r="AT55" s="24">
        <v>3</v>
      </c>
      <c r="AU55" s="24">
        <v>4</v>
      </c>
      <c r="AV55" s="24">
        <v>4</v>
      </c>
      <c r="AW55" s="24">
        <v>3</v>
      </c>
      <c r="AX55" s="24">
        <v>8</v>
      </c>
      <c r="AY55" s="24">
        <v>3</v>
      </c>
      <c r="AZ55" s="24">
        <v>0</v>
      </c>
      <c r="BA55" s="24">
        <v>0</v>
      </c>
      <c r="BB55" s="24">
        <v>22</v>
      </c>
      <c r="BC55" s="25"/>
      <c r="BD55" s="24"/>
      <c r="BE55" s="24"/>
      <c r="BF55" s="24"/>
      <c r="BG55" s="26">
        <f t="shared" si="42"/>
        <v>89.285714285714292</v>
      </c>
      <c r="BH55" s="26">
        <f t="shared" si="43"/>
        <v>10.714285714285714</v>
      </c>
      <c r="BI55" s="26">
        <f t="shared" si="44"/>
        <v>66.666666666666671</v>
      </c>
      <c r="BJ55" s="26">
        <f t="shared" si="45"/>
        <v>0</v>
      </c>
      <c r="BK55" s="26">
        <f t="shared" si="46"/>
        <v>0</v>
      </c>
      <c r="BL55" s="26">
        <f t="shared" si="47"/>
        <v>33.333333333333336</v>
      </c>
      <c r="BM55" s="26">
        <f t="shared" si="48"/>
        <v>0</v>
      </c>
      <c r="BN55" s="26">
        <f t="shared" si="49"/>
        <v>100</v>
      </c>
      <c r="BO55" s="26">
        <f t="shared" si="50"/>
        <v>100</v>
      </c>
      <c r="BP55" s="26">
        <f t="shared" si="15"/>
        <v>96</v>
      </c>
      <c r="BQ55" s="26">
        <f t="shared" si="51"/>
        <v>0</v>
      </c>
      <c r="BR55" s="26">
        <f t="shared" si="52"/>
        <v>92</v>
      </c>
      <c r="BS55" s="26">
        <f t="shared" si="18"/>
        <v>100</v>
      </c>
      <c r="BT55" s="26">
        <f t="shared" si="53"/>
        <v>0</v>
      </c>
      <c r="BU55" s="26">
        <f t="shared" si="54"/>
        <v>100</v>
      </c>
      <c r="BV55" s="26">
        <f t="shared" si="55"/>
        <v>0</v>
      </c>
      <c r="BW55" s="26">
        <f t="shared" si="55"/>
        <v>28</v>
      </c>
      <c r="BX55" s="26">
        <f t="shared" si="55"/>
        <v>28</v>
      </c>
      <c r="BY55" s="26">
        <f t="shared" si="56"/>
        <v>0</v>
      </c>
      <c r="BZ55" s="26">
        <f t="shared" si="57"/>
        <v>100</v>
      </c>
      <c r="CA55" s="26">
        <f t="shared" si="58"/>
        <v>100</v>
      </c>
      <c r="CB55" s="26">
        <f t="shared" si="59"/>
        <v>0</v>
      </c>
      <c r="CC55" s="26">
        <f t="shared" si="60"/>
        <v>4</v>
      </c>
      <c r="CD55" s="26">
        <f t="shared" si="61"/>
        <v>96</v>
      </c>
      <c r="CE55" s="26">
        <f t="shared" si="62"/>
        <v>100</v>
      </c>
      <c r="CF55" s="26">
        <f t="shared" si="63"/>
        <v>0</v>
      </c>
      <c r="CG55" s="26">
        <f t="shared" si="30"/>
        <v>100</v>
      </c>
      <c r="CH55" s="26">
        <f t="shared" si="64"/>
        <v>100</v>
      </c>
      <c r="CI55" s="26">
        <f t="shared" si="65"/>
        <v>100</v>
      </c>
      <c r="CJ55" s="26">
        <f t="shared" si="66"/>
        <v>28.075880758807589</v>
      </c>
      <c r="CK55" s="26">
        <f t="shared" si="67"/>
        <v>2.4932249322493223</v>
      </c>
      <c r="CL55" s="26">
        <f t="shared" si="68"/>
        <v>36</v>
      </c>
      <c r="CM55" s="26"/>
      <c r="CN55" s="26">
        <f t="shared" si="69"/>
        <v>100</v>
      </c>
      <c r="CO55" s="26">
        <f t="shared" si="70"/>
        <v>100</v>
      </c>
      <c r="CP55" s="26">
        <f t="shared" si="71"/>
        <v>100</v>
      </c>
      <c r="CQ55" s="26">
        <f t="shared" si="72"/>
        <v>100</v>
      </c>
      <c r="CR55" s="26">
        <f t="shared" si="73"/>
        <v>12</v>
      </c>
      <c r="CS55" s="26">
        <f t="shared" si="74"/>
        <v>88</v>
      </c>
    </row>
    <row r="56" spans="1:97">
      <c r="A56" s="8" t="s">
        <v>206</v>
      </c>
      <c r="B56" s="8" t="s">
        <v>207</v>
      </c>
      <c r="C56" s="21" t="s">
        <v>145</v>
      </c>
      <c r="D56" s="9">
        <v>29</v>
      </c>
      <c r="E56" s="9">
        <v>29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26</v>
      </c>
      <c r="L56" s="9">
        <v>26</v>
      </c>
      <c r="M56" s="9">
        <v>26</v>
      </c>
      <c r="N56" s="9">
        <v>26</v>
      </c>
      <c r="O56" s="9">
        <v>24</v>
      </c>
      <c r="P56" s="9">
        <v>0</v>
      </c>
      <c r="Q56" s="9">
        <v>0</v>
      </c>
      <c r="R56" s="9">
        <v>23</v>
      </c>
      <c r="S56" s="9">
        <v>20</v>
      </c>
      <c r="T56" s="9">
        <v>3</v>
      </c>
      <c r="U56" s="9">
        <v>23</v>
      </c>
      <c r="V56" s="9">
        <v>0</v>
      </c>
      <c r="W56" s="9">
        <v>18</v>
      </c>
      <c r="X56" s="9">
        <v>17</v>
      </c>
      <c r="Y56" s="9">
        <v>3</v>
      </c>
      <c r="Z56" s="9">
        <v>26</v>
      </c>
      <c r="AA56" s="9">
        <v>23</v>
      </c>
      <c r="AB56" s="9">
        <v>0</v>
      </c>
      <c r="AC56" s="9">
        <v>4</v>
      </c>
      <c r="AD56" s="9">
        <v>22</v>
      </c>
      <c r="AE56" s="9">
        <v>26</v>
      </c>
      <c r="AF56" s="9">
        <v>0</v>
      </c>
      <c r="AG56" s="9">
        <v>26</v>
      </c>
      <c r="AH56" s="9">
        <v>26</v>
      </c>
      <c r="AI56" s="9">
        <v>26</v>
      </c>
      <c r="AJ56" s="9">
        <v>420</v>
      </c>
      <c r="AK56" s="9">
        <v>260</v>
      </c>
      <c r="AL56" s="9">
        <v>82</v>
      </c>
      <c r="AM56" s="9">
        <v>14</v>
      </c>
      <c r="AN56" s="9">
        <v>0</v>
      </c>
      <c r="AO56" s="9">
        <v>25</v>
      </c>
      <c r="AP56" s="9">
        <v>23</v>
      </c>
      <c r="AQ56" s="9">
        <v>25</v>
      </c>
      <c r="AR56" s="9">
        <v>21</v>
      </c>
      <c r="AS56" s="9">
        <v>2</v>
      </c>
      <c r="AT56" s="9">
        <v>1</v>
      </c>
      <c r="AU56" s="9">
        <v>5</v>
      </c>
      <c r="AV56" s="9">
        <v>1</v>
      </c>
      <c r="AW56" s="9">
        <v>2</v>
      </c>
      <c r="AX56" s="9">
        <v>7</v>
      </c>
      <c r="AY56" s="9">
        <v>2</v>
      </c>
      <c r="AZ56" s="9">
        <v>2</v>
      </c>
      <c r="BA56" s="9">
        <v>5</v>
      </c>
      <c r="BB56" s="9">
        <v>25</v>
      </c>
      <c r="BC56" s="18"/>
      <c r="BD56" s="9"/>
      <c r="BE56" s="9"/>
      <c r="BF56" s="9"/>
      <c r="BG56" s="10">
        <f t="shared" si="42"/>
        <v>100</v>
      </c>
      <c r="BH56" s="10">
        <f t="shared" si="43"/>
        <v>0</v>
      </c>
      <c r="BI56" s="10" t="e">
        <f t="shared" si="44"/>
        <v>#DIV/0!</v>
      </c>
      <c r="BJ56" s="10" t="e">
        <f t="shared" si="45"/>
        <v>#DIV/0!</v>
      </c>
      <c r="BK56" s="10" t="e">
        <f t="shared" si="46"/>
        <v>#DIV/0!</v>
      </c>
      <c r="BL56" s="10" t="e">
        <f t="shared" si="47"/>
        <v>#DIV/0!</v>
      </c>
      <c r="BM56" s="10">
        <f t="shared" si="48"/>
        <v>100</v>
      </c>
      <c r="BN56" s="10">
        <f t="shared" si="49"/>
        <v>100</v>
      </c>
      <c r="BO56" s="10">
        <f t="shared" si="50"/>
        <v>100</v>
      </c>
      <c r="BP56" s="10">
        <f t="shared" si="15"/>
        <v>92.307692307692307</v>
      </c>
      <c r="BQ56" s="10">
        <f t="shared" si="51"/>
        <v>0</v>
      </c>
      <c r="BR56" s="10">
        <f t="shared" si="52"/>
        <v>88.461538461538467</v>
      </c>
      <c r="BS56" s="10">
        <f t="shared" si="18"/>
        <v>86.956521739130437</v>
      </c>
      <c r="BT56" s="10">
        <f t="shared" si="53"/>
        <v>11.538461538461538</v>
      </c>
      <c r="BU56" s="10">
        <f t="shared" si="54"/>
        <v>88.461538461538467</v>
      </c>
      <c r="BV56" s="10">
        <f t="shared" si="55"/>
        <v>0</v>
      </c>
      <c r="BW56" s="10">
        <f t="shared" si="55"/>
        <v>69.230769230769226</v>
      </c>
      <c r="BX56" s="10">
        <f t="shared" si="55"/>
        <v>65.384615384615387</v>
      </c>
      <c r="BY56" s="10">
        <f t="shared" si="56"/>
        <v>11.538461538461538</v>
      </c>
      <c r="BZ56" s="10">
        <f t="shared" si="57"/>
        <v>100</v>
      </c>
      <c r="CA56" s="10">
        <f t="shared" si="58"/>
        <v>88.461538461538467</v>
      </c>
      <c r="CB56" s="10">
        <f t="shared" si="59"/>
        <v>0</v>
      </c>
      <c r="CC56" s="10">
        <f t="shared" si="60"/>
        <v>15.384615384615385</v>
      </c>
      <c r="CD56" s="10">
        <f t="shared" si="61"/>
        <v>84.615384615384613</v>
      </c>
      <c r="CE56" s="10">
        <f t="shared" si="62"/>
        <v>100</v>
      </c>
      <c r="CF56" s="10">
        <f t="shared" si="63"/>
        <v>0</v>
      </c>
      <c r="CG56" s="10">
        <f t="shared" si="30"/>
        <v>100</v>
      </c>
      <c r="CH56" s="10">
        <f t="shared" si="64"/>
        <v>100</v>
      </c>
      <c r="CI56" s="10">
        <f t="shared" si="65"/>
        <v>100</v>
      </c>
      <c r="CJ56" s="10">
        <f t="shared" si="66"/>
        <v>61.904761904761905</v>
      </c>
      <c r="CK56" s="10">
        <f t="shared" si="67"/>
        <v>19.523809523809526</v>
      </c>
      <c r="CL56" s="10">
        <f t="shared" si="68"/>
        <v>53.846153846153847</v>
      </c>
      <c r="CM56" s="10"/>
      <c r="CN56" s="10">
        <f t="shared" si="69"/>
        <v>96.15384615384616</v>
      </c>
      <c r="CO56" s="10">
        <f t="shared" si="70"/>
        <v>88.461538461538467</v>
      </c>
      <c r="CP56" s="10">
        <f t="shared" si="71"/>
        <v>96.15384615384616</v>
      </c>
      <c r="CQ56" s="10">
        <f t="shared" si="72"/>
        <v>91.304347826086953</v>
      </c>
      <c r="CR56" s="10">
        <f t="shared" si="73"/>
        <v>3.8461538461538463</v>
      </c>
      <c r="CS56" s="10">
        <f t="shared" si="74"/>
        <v>96.15384615384616</v>
      </c>
    </row>
    <row r="57" spans="1:97">
      <c r="A57" s="22" t="s">
        <v>208</v>
      </c>
      <c r="B57" s="22"/>
      <c r="C57" s="23" t="s">
        <v>145</v>
      </c>
      <c r="D57" s="24">
        <v>29</v>
      </c>
      <c r="E57" s="24">
        <v>29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26</v>
      </c>
      <c r="L57" s="24">
        <v>26</v>
      </c>
      <c r="M57" s="24">
        <v>26</v>
      </c>
      <c r="N57" s="24">
        <v>26</v>
      </c>
      <c r="O57" s="24">
        <v>24</v>
      </c>
      <c r="P57" s="24">
        <v>0</v>
      </c>
      <c r="Q57" s="24">
        <v>0</v>
      </c>
      <c r="R57" s="24">
        <v>23</v>
      </c>
      <c r="S57" s="24">
        <v>20</v>
      </c>
      <c r="T57" s="24">
        <v>3</v>
      </c>
      <c r="U57" s="24">
        <v>23</v>
      </c>
      <c r="V57" s="24">
        <v>0</v>
      </c>
      <c r="W57" s="24">
        <v>18</v>
      </c>
      <c r="X57" s="24">
        <v>17</v>
      </c>
      <c r="Y57" s="24">
        <v>3</v>
      </c>
      <c r="Z57" s="24">
        <v>26</v>
      </c>
      <c r="AA57" s="24">
        <v>23</v>
      </c>
      <c r="AB57" s="24">
        <v>0</v>
      </c>
      <c r="AC57" s="24">
        <v>4</v>
      </c>
      <c r="AD57" s="24">
        <v>22</v>
      </c>
      <c r="AE57" s="24">
        <v>26</v>
      </c>
      <c r="AF57" s="24">
        <v>0</v>
      </c>
      <c r="AG57" s="24">
        <v>26</v>
      </c>
      <c r="AH57" s="24">
        <v>26</v>
      </c>
      <c r="AI57" s="24">
        <v>26</v>
      </c>
      <c r="AJ57" s="24">
        <v>420</v>
      </c>
      <c r="AK57" s="24">
        <v>260</v>
      </c>
      <c r="AL57" s="24">
        <v>82</v>
      </c>
      <c r="AM57" s="24">
        <v>14</v>
      </c>
      <c r="AN57" s="24">
        <v>0</v>
      </c>
      <c r="AO57" s="24">
        <v>25</v>
      </c>
      <c r="AP57" s="24">
        <v>23</v>
      </c>
      <c r="AQ57" s="24">
        <v>25</v>
      </c>
      <c r="AR57" s="24">
        <v>21</v>
      </c>
      <c r="AS57" s="24">
        <v>2</v>
      </c>
      <c r="AT57" s="24">
        <v>1</v>
      </c>
      <c r="AU57" s="24">
        <v>5</v>
      </c>
      <c r="AV57" s="24">
        <v>1</v>
      </c>
      <c r="AW57" s="24">
        <v>2</v>
      </c>
      <c r="AX57" s="24">
        <v>7</v>
      </c>
      <c r="AY57" s="24">
        <v>2</v>
      </c>
      <c r="AZ57" s="24">
        <v>2</v>
      </c>
      <c r="BA57" s="24">
        <v>5</v>
      </c>
      <c r="BB57" s="24">
        <v>25</v>
      </c>
      <c r="BC57" s="25"/>
      <c r="BD57" s="24"/>
      <c r="BE57" s="24"/>
      <c r="BF57" s="24"/>
      <c r="BG57" s="26">
        <f t="shared" si="42"/>
        <v>100</v>
      </c>
      <c r="BH57" s="26">
        <f t="shared" si="43"/>
        <v>0</v>
      </c>
      <c r="BI57" s="26" t="e">
        <f t="shared" si="44"/>
        <v>#DIV/0!</v>
      </c>
      <c r="BJ57" s="26" t="e">
        <f t="shared" si="45"/>
        <v>#DIV/0!</v>
      </c>
      <c r="BK57" s="26" t="e">
        <f t="shared" si="46"/>
        <v>#DIV/0!</v>
      </c>
      <c r="BL57" s="26" t="e">
        <f t="shared" si="47"/>
        <v>#DIV/0!</v>
      </c>
      <c r="BM57" s="26">
        <f t="shared" si="48"/>
        <v>100</v>
      </c>
      <c r="BN57" s="26">
        <f t="shared" si="49"/>
        <v>100</v>
      </c>
      <c r="BO57" s="26">
        <f t="shared" si="50"/>
        <v>100</v>
      </c>
      <c r="BP57" s="26">
        <f t="shared" si="15"/>
        <v>92.307692307692307</v>
      </c>
      <c r="BQ57" s="26">
        <f t="shared" si="51"/>
        <v>0</v>
      </c>
      <c r="BR57" s="26">
        <f t="shared" si="52"/>
        <v>88.461538461538467</v>
      </c>
      <c r="BS57" s="26">
        <f t="shared" ref="BS57" si="75">S57*100/$K57</f>
        <v>76.92307692307692</v>
      </c>
      <c r="BT57" s="26">
        <f t="shared" si="53"/>
        <v>11.538461538461538</v>
      </c>
      <c r="BU57" s="26">
        <f t="shared" si="54"/>
        <v>88.461538461538467</v>
      </c>
      <c r="BV57" s="26">
        <f t="shared" si="55"/>
        <v>0</v>
      </c>
      <c r="BW57" s="26">
        <f t="shared" si="55"/>
        <v>69.230769230769226</v>
      </c>
      <c r="BX57" s="26">
        <f t="shared" si="55"/>
        <v>65.384615384615387</v>
      </c>
      <c r="BY57" s="26">
        <f t="shared" si="56"/>
        <v>11.538461538461538</v>
      </c>
      <c r="BZ57" s="26">
        <f t="shared" si="57"/>
        <v>100</v>
      </c>
      <c r="CA57" s="26">
        <f t="shared" si="58"/>
        <v>88.461538461538467</v>
      </c>
      <c r="CB57" s="26">
        <f t="shared" si="59"/>
        <v>0</v>
      </c>
      <c r="CC57" s="26">
        <f t="shared" si="60"/>
        <v>15.384615384615385</v>
      </c>
      <c r="CD57" s="26">
        <f t="shared" si="61"/>
        <v>84.615384615384613</v>
      </c>
      <c r="CE57" s="26">
        <f t="shared" si="62"/>
        <v>100</v>
      </c>
      <c r="CF57" s="26">
        <f t="shared" si="63"/>
        <v>0</v>
      </c>
      <c r="CG57" s="26">
        <f t="shared" si="30"/>
        <v>100</v>
      </c>
      <c r="CH57" s="26">
        <f t="shared" si="64"/>
        <v>100</v>
      </c>
      <c r="CI57" s="26">
        <f t="shared" si="65"/>
        <v>100</v>
      </c>
      <c r="CJ57" s="26">
        <f t="shared" si="66"/>
        <v>61.904761904761905</v>
      </c>
      <c r="CK57" s="26">
        <f t="shared" si="67"/>
        <v>19.523809523809526</v>
      </c>
      <c r="CL57" s="26">
        <f t="shared" si="68"/>
        <v>53.846153846153847</v>
      </c>
      <c r="CM57" s="26"/>
      <c r="CN57" s="26">
        <f t="shared" si="69"/>
        <v>96.15384615384616</v>
      </c>
      <c r="CO57" s="26">
        <f t="shared" si="70"/>
        <v>88.461538461538467</v>
      </c>
      <c r="CP57" s="26">
        <f t="shared" si="71"/>
        <v>96.15384615384616</v>
      </c>
      <c r="CQ57" s="26">
        <f t="shared" si="72"/>
        <v>91.304347826086953</v>
      </c>
      <c r="CR57" s="26">
        <f t="shared" si="73"/>
        <v>3.8461538461538463</v>
      </c>
      <c r="CS57" s="26">
        <f t="shared" si="74"/>
        <v>96.15384615384616</v>
      </c>
    </row>
    <row r="58" spans="1:97">
      <c r="A58" s="8" t="s">
        <v>209</v>
      </c>
      <c r="B58" s="8" t="s">
        <v>210</v>
      </c>
      <c r="C58" s="21" t="s">
        <v>145</v>
      </c>
      <c r="D58" s="9">
        <v>32</v>
      </c>
      <c r="E58" s="9">
        <v>31</v>
      </c>
      <c r="F58" s="9">
        <v>1</v>
      </c>
      <c r="G58" s="9">
        <v>1</v>
      </c>
      <c r="H58" s="9">
        <v>0</v>
      </c>
      <c r="I58" s="9">
        <v>0</v>
      </c>
      <c r="J58" s="9">
        <v>0</v>
      </c>
      <c r="K58" s="9">
        <v>29</v>
      </c>
      <c r="L58" s="9">
        <v>0</v>
      </c>
      <c r="M58" s="9">
        <v>29</v>
      </c>
      <c r="N58" s="9">
        <v>29</v>
      </c>
      <c r="O58" s="9">
        <v>28</v>
      </c>
      <c r="P58" s="9">
        <v>0</v>
      </c>
      <c r="Q58" s="9">
        <v>0</v>
      </c>
      <c r="R58" s="9">
        <v>28</v>
      </c>
      <c r="S58" s="9">
        <v>28</v>
      </c>
      <c r="T58" s="9">
        <v>9</v>
      </c>
      <c r="U58" s="9">
        <v>20</v>
      </c>
      <c r="V58" s="9">
        <v>0</v>
      </c>
      <c r="W58" s="9">
        <v>11</v>
      </c>
      <c r="X58" s="9">
        <v>8</v>
      </c>
      <c r="Y58" s="9">
        <v>7</v>
      </c>
      <c r="Z58" s="9">
        <v>29</v>
      </c>
      <c r="AA58" s="9">
        <v>22</v>
      </c>
      <c r="AB58" s="9">
        <v>0</v>
      </c>
      <c r="AC58" s="9">
        <v>9</v>
      </c>
      <c r="AD58" s="9">
        <v>20</v>
      </c>
      <c r="AE58" s="9">
        <v>29</v>
      </c>
      <c r="AF58" s="9">
        <v>0</v>
      </c>
      <c r="AG58" s="9">
        <v>29</v>
      </c>
      <c r="AH58" s="9">
        <v>29</v>
      </c>
      <c r="AI58" s="9">
        <v>29</v>
      </c>
      <c r="AJ58" s="9">
        <v>842</v>
      </c>
      <c r="AK58" s="9">
        <v>725</v>
      </c>
      <c r="AL58" s="9">
        <v>116</v>
      </c>
      <c r="AM58" s="9">
        <v>17</v>
      </c>
      <c r="AN58" s="9">
        <v>0</v>
      </c>
      <c r="AO58" s="9">
        <v>14</v>
      </c>
      <c r="AP58" s="9">
        <v>29</v>
      </c>
      <c r="AQ58" s="9">
        <v>14</v>
      </c>
      <c r="AR58" s="9">
        <v>10</v>
      </c>
      <c r="AS58" s="9">
        <v>15</v>
      </c>
      <c r="AT58" s="9">
        <v>6</v>
      </c>
      <c r="AU58" s="9">
        <v>8</v>
      </c>
      <c r="AV58" s="9">
        <v>2</v>
      </c>
      <c r="AW58" s="9">
        <v>4</v>
      </c>
      <c r="AX58" s="9">
        <v>6</v>
      </c>
      <c r="AY58" s="9">
        <v>2</v>
      </c>
      <c r="AZ58" s="9">
        <v>1</v>
      </c>
      <c r="BA58" s="9">
        <v>0</v>
      </c>
      <c r="BB58" s="9">
        <v>23</v>
      </c>
      <c r="BC58" s="18"/>
      <c r="BD58" s="9"/>
      <c r="BE58" s="9"/>
      <c r="BF58" s="9"/>
      <c r="BG58" s="10">
        <f t="shared" ref="BG58:BG66" si="76">E58*100/D58</f>
        <v>96.875</v>
      </c>
      <c r="BH58" s="10">
        <f t="shared" ref="BH58:BH66" si="77">F58*100/D58</f>
        <v>3.125</v>
      </c>
      <c r="BI58" s="10">
        <f t="shared" ref="BI58:BI66" si="78">G58*100/F58</f>
        <v>100</v>
      </c>
      <c r="BJ58" s="10">
        <f t="shared" ref="BJ58:BJ66" si="79">H58*100/F58</f>
        <v>0</v>
      </c>
      <c r="BK58" s="10">
        <f t="shared" ref="BK58:BK66" si="80">I58*100/F58</f>
        <v>0</v>
      </c>
      <c r="BL58" s="10">
        <f t="shared" ref="BL58:BL66" si="81">J58*100/F58</f>
        <v>0</v>
      </c>
      <c r="BM58" s="10">
        <f t="shared" ref="BM58:BM66" si="82">L58*100/$K58</f>
        <v>0</v>
      </c>
      <c r="BN58" s="10">
        <f t="shared" ref="BN58:BN66" si="83">M58*100/$K58</f>
        <v>100</v>
      </c>
      <c r="BO58" s="10">
        <f t="shared" ref="BO58:BO66" si="84">N58*100/$K58</f>
        <v>100</v>
      </c>
      <c r="BP58" s="10">
        <f t="shared" si="15"/>
        <v>96.551724137931032</v>
      </c>
      <c r="BQ58" s="10">
        <f t="shared" ref="BQ58:BQ66" si="85">Q58*100/$K58</f>
        <v>0</v>
      </c>
      <c r="BR58" s="10">
        <f t="shared" ref="BR58:BR66" si="86">R58*100/$K58</f>
        <v>96.551724137931032</v>
      </c>
      <c r="BS58" s="10">
        <f t="shared" ref="BS58:BS66" si="87">S58*100/$K58</f>
        <v>96.551724137931032</v>
      </c>
      <c r="BT58" s="10">
        <f t="shared" ref="BT58:BT66" si="88">T58*100/$K58</f>
        <v>31.03448275862069</v>
      </c>
      <c r="BU58" s="10">
        <f t="shared" ref="BU58:BU66" si="89">U58*100/$K58</f>
        <v>68.965517241379317</v>
      </c>
      <c r="BV58" s="10">
        <f t="shared" ref="BV58:BX66" si="90">V58*100/$K58</f>
        <v>0</v>
      </c>
      <c r="BW58" s="10">
        <f t="shared" si="55"/>
        <v>37.931034482758619</v>
      </c>
      <c r="BX58" s="10">
        <f t="shared" si="55"/>
        <v>27.586206896551722</v>
      </c>
      <c r="BY58" s="10">
        <f t="shared" ref="BY58:BY66" si="91">Y58*100/$K58</f>
        <v>24.137931034482758</v>
      </c>
      <c r="BZ58" s="10">
        <f t="shared" ref="BZ58:BZ66" si="92">Z58*100/$K58</f>
        <v>100</v>
      </c>
      <c r="CA58" s="10">
        <f t="shared" ref="CA58:CA66" si="93">AA58*100/$K58</f>
        <v>75.862068965517238</v>
      </c>
      <c r="CB58" s="10">
        <f t="shared" ref="CB58:CB66" si="94">AB58*100/$K58</f>
        <v>0</v>
      </c>
      <c r="CC58" s="10">
        <f t="shared" ref="CC58:CC66" si="95">AC58*100/$K58</f>
        <v>31.03448275862069</v>
      </c>
      <c r="CD58" s="10">
        <f t="shared" ref="CD58:CD66" si="96">AD58*100/$K58</f>
        <v>68.965517241379317</v>
      </c>
      <c r="CE58" s="10">
        <f t="shared" ref="CE58:CE66" si="97">AE58*100/$K58</f>
        <v>100</v>
      </c>
      <c r="CF58" s="10">
        <f t="shared" ref="CF58:CF66" si="98">AF58*100/$K58</f>
        <v>0</v>
      </c>
      <c r="CG58" s="10">
        <f t="shared" si="30"/>
        <v>100</v>
      </c>
      <c r="CH58" s="10">
        <f t="shared" ref="CH58:CH66" si="99">AH58*100/$K58</f>
        <v>100</v>
      </c>
      <c r="CI58" s="10">
        <f t="shared" ref="CI58:CI66" si="100">AI58*100/$K58</f>
        <v>100</v>
      </c>
      <c r="CJ58" s="10">
        <f t="shared" ref="CJ58:CJ66" si="101">AK58*100/AJ58</f>
        <v>86.104513064133016</v>
      </c>
      <c r="CK58" s="10">
        <f t="shared" ref="CK58:CK66" si="102">AL58*100/AJ58</f>
        <v>13.776722090261282</v>
      </c>
      <c r="CL58" s="10">
        <f t="shared" ref="CL58:CL66" si="103">AM58*100/$K58</f>
        <v>58.620689655172413</v>
      </c>
      <c r="CM58" s="10"/>
      <c r="CN58" s="10">
        <f t="shared" ref="CN58:CN66" si="104">AO58*100/$K58</f>
        <v>48.275862068965516</v>
      </c>
      <c r="CO58" s="10">
        <f t="shared" ref="CO58:CO66" si="105">AP58*100/$K58</f>
        <v>100</v>
      </c>
      <c r="CP58" s="10">
        <f t="shared" ref="CP58:CP66" si="106">AQ58*100/$K58</f>
        <v>48.275862068965516</v>
      </c>
      <c r="CQ58" s="10">
        <f t="shared" ref="CQ58:CQ66" si="107">AR58*100/(AR58+AS58)</f>
        <v>40</v>
      </c>
      <c r="CR58" s="10">
        <f t="shared" ref="CR58:CR66" si="108">AT58*100/$K58</f>
        <v>20.689655172413794</v>
      </c>
      <c r="CS58" s="10">
        <f t="shared" ref="CS58:CS66" si="109">BB58*100/$K58</f>
        <v>79.310344827586206</v>
      </c>
    </row>
    <row r="59" spans="1:97">
      <c r="A59" s="8" t="s">
        <v>209</v>
      </c>
      <c r="B59" s="8" t="s">
        <v>211</v>
      </c>
      <c r="C59" s="21" t="s">
        <v>145</v>
      </c>
      <c r="D59" s="9">
        <v>39</v>
      </c>
      <c r="E59" s="9">
        <v>39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39</v>
      </c>
      <c r="L59" s="9">
        <v>0</v>
      </c>
      <c r="M59" s="9">
        <v>39</v>
      </c>
      <c r="N59" s="9">
        <v>39</v>
      </c>
      <c r="O59" s="9">
        <v>39</v>
      </c>
      <c r="P59" s="9">
        <v>0</v>
      </c>
      <c r="Q59" s="9">
        <v>0</v>
      </c>
      <c r="R59" s="9">
        <v>33</v>
      </c>
      <c r="S59" s="9">
        <v>28</v>
      </c>
      <c r="T59" s="9">
        <v>3</v>
      </c>
      <c r="U59" s="9">
        <v>29</v>
      </c>
      <c r="V59" s="9">
        <v>7</v>
      </c>
      <c r="W59" s="9">
        <v>10</v>
      </c>
      <c r="X59" s="9">
        <v>9</v>
      </c>
      <c r="Y59" s="9">
        <v>9</v>
      </c>
      <c r="Z59" s="9">
        <v>38</v>
      </c>
      <c r="AA59" s="9">
        <v>29</v>
      </c>
      <c r="AB59" s="9">
        <v>1</v>
      </c>
      <c r="AC59" s="9">
        <v>8</v>
      </c>
      <c r="AD59" s="9">
        <v>31</v>
      </c>
      <c r="AE59" s="9">
        <v>39</v>
      </c>
      <c r="AF59" s="9">
        <v>0</v>
      </c>
      <c r="AG59" s="9">
        <v>39</v>
      </c>
      <c r="AH59" s="9">
        <v>39</v>
      </c>
      <c r="AI59" s="9">
        <v>39</v>
      </c>
      <c r="AJ59" s="9">
        <v>18019</v>
      </c>
      <c r="AK59" s="9">
        <v>14887</v>
      </c>
      <c r="AL59" s="9">
        <v>1373</v>
      </c>
      <c r="AM59" s="9">
        <v>27</v>
      </c>
      <c r="AN59" s="9">
        <v>5</v>
      </c>
      <c r="AO59" s="9">
        <v>35</v>
      </c>
      <c r="AP59" s="9">
        <v>32</v>
      </c>
      <c r="AQ59" s="9">
        <v>35</v>
      </c>
      <c r="AR59" s="9">
        <v>26</v>
      </c>
      <c r="AS59" s="9">
        <v>11</v>
      </c>
      <c r="AT59" s="9">
        <v>3</v>
      </c>
      <c r="AU59" s="9">
        <v>12</v>
      </c>
      <c r="AV59" s="9">
        <v>16</v>
      </c>
      <c r="AW59" s="9">
        <v>5</v>
      </c>
      <c r="AX59" s="9">
        <v>1</v>
      </c>
      <c r="AY59" s="9">
        <v>1</v>
      </c>
      <c r="AZ59" s="9">
        <v>1</v>
      </c>
      <c r="BA59" s="9">
        <v>0</v>
      </c>
      <c r="BB59" s="9">
        <v>36</v>
      </c>
      <c r="BC59" s="18"/>
      <c r="BD59" s="9"/>
      <c r="BE59" s="9"/>
      <c r="BF59" s="9"/>
      <c r="BG59" s="10">
        <f t="shared" si="76"/>
        <v>100</v>
      </c>
      <c r="BH59" s="10">
        <f t="shared" si="77"/>
        <v>0</v>
      </c>
      <c r="BI59" s="10" t="e">
        <f t="shared" si="78"/>
        <v>#DIV/0!</v>
      </c>
      <c r="BJ59" s="10" t="e">
        <f t="shared" si="79"/>
        <v>#DIV/0!</v>
      </c>
      <c r="BK59" s="10" t="e">
        <f t="shared" si="80"/>
        <v>#DIV/0!</v>
      </c>
      <c r="BL59" s="10" t="e">
        <f t="shared" si="81"/>
        <v>#DIV/0!</v>
      </c>
      <c r="BM59" s="10">
        <f t="shared" si="82"/>
        <v>0</v>
      </c>
      <c r="BN59" s="10">
        <f t="shared" si="83"/>
        <v>100</v>
      </c>
      <c r="BO59" s="10">
        <f t="shared" si="84"/>
        <v>100</v>
      </c>
      <c r="BP59" s="10">
        <f t="shared" si="15"/>
        <v>100</v>
      </c>
      <c r="BQ59" s="10">
        <f t="shared" si="85"/>
        <v>0</v>
      </c>
      <c r="BR59" s="10">
        <f t="shared" si="86"/>
        <v>84.615384615384613</v>
      </c>
      <c r="BS59" s="10">
        <f t="shared" si="87"/>
        <v>71.794871794871796</v>
      </c>
      <c r="BT59" s="10">
        <f t="shared" si="88"/>
        <v>7.6923076923076925</v>
      </c>
      <c r="BU59" s="10">
        <f t="shared" si="89"/>
        <v>74.358974358974365</v>
      </c>
      <c r="BV59" s="10">
        <f t="shared" si="90"/>
        <v>17.948717948717949</v>
      </c>
      <c r="BW59" s="10">
        <f t="shared" si="90"/>
        <v>25.641025641025642</v>
      </c>
      <c r="BX59" s="10">
        <f t="shared" si="90"/>
        <v>23.076923076923077</v>
      </c>
      <c r="BY59" s="10">
        <f t="shared" si="91"/>
        <v>23.076923076923077</v>
      </c>
      <c r="BZ59" s="10">
        <f t="shared" si="92"/>
        <v>97.435897435897431</v>
      </c>
      <c r="CA59" s="10">
        <f t="shared" si="93"/>
        <v>74.358974358974365</v>
      </c>
      <c r="CB59" s="10">
        <f t="shared" si="94"/>
        <v>2.5641025641025643</v>
      </c>
      <c r="CC59" s="10">
        <f t="shared" si="95"/>
        <v>20.512820512820515</v>
      </c>
      <c r="CD59" s="10">
        <f t="shared" si="96"/>
        <v>79.487179487179489</v>
      </c>
      <c r="CE59" s="10">
        <f t="shared" si="97"/>
        <v>100</v>
      </c>
      <c r="CF59" s="10">
        <f t="shared" si="98"/>
        <v>0</v>
      </c>
      <c r="CG59" s="10">
        <f t="shared" si="30"/>
        <v>100</v>
      </c>
      <c r="CH59" s="10">
        <f t="shared" si="99"/>
        <v>100</v>
      </c>
      <c r="CI59" s="10">
        <f t="shared" si="100"/>
        <v>100</v>
      </c>
      <c r="CJ59" s="10">
        <f t="shared" si="101"/>
        <v>82.618347300072145</v>
      </c>
      <c r="CK59" s="10">
        <f t="shared" si="102"/>
        <v>7.6197347244575173</v>
      </c>
      <c r="CL59" s="10">
        <f t="shared" si="103"/>
        <v>69.230769230769226</v>
      </c>
      <c r="CM59" s="10"/>
      <c r="CN59" s="10">
        <f t="shared" si="104"/>
        <v>89.743589743589737</v>
      </c>
      <c r="CO59" s="10">
        <f t="shared" si="105"/>
        <v>82.051282051282058</v>
      </c>
      <c r="CP59" s="10">
        <f t="shared" si="106"/>
        <v>89.743589743589737</v>
      </c>
      <c r="CQ59" s="10">
        <f t="shared" si="107"/>
        <v>70.270270270270274</v>
      </c>
      <c r="CR59" s="10">
        <f t="shared" si="108"/>
        <v>7.6923076923076925</v>
      </c>
      <c r="CS59" s="10">
        <f t="shared" si="109"/>
        <v>92.307692307692307</v>
      </c>
    </row>
    <row r="60" spans="1:97">
      <c r="A60" s="8" t="s">
        <v>209</v>
      </c>
      <c r="B60" s="8" t="s">
        <v>212</v>
      </c>
      <c r="C60" s="21" t="s">
        <v>145</v>
      </c>
      <c r="D60" s="9">
        <v>33</v>
      </c>
      <c r="E60" s="9">
        <v>31</v>
      </c>
      <c r="F60" s="9">
        <v>2</v>
      </c>
      <c r="G60" s="9">
        <v>2</v>
      </c>
      <c r="H60" s="9">
        <v>0</v>
      </c>
      <c r="I60" s="9">
        <v>0</v>
      </c>
      <c r="J60" s="9">
        <v>0</v>
      </c>
      <c r="K60" s="9">
        <v>31</v>
      </c>
      <c r="L60" s="9">
        <v>1</v>
      </c>
      <c r="M60" s="9">
        <v>31</v>
      </c>
      <c r="N60" s="9">
        <v>31</v>
      </c>
      <c r="O60" s="9">
        <v>31</v>
      </c>
      <c r="P60" s="9">
        <v>0</v>
      </c>
      <c r="Q60" s="9">
        <v>0</v>
      </c>
      <c r="R60" s="9">
        <v>31</v>
      </c>
      <c r="S60" s="9">
        <v>31</v>
      </c>
      <c r="T60" s="9">
        <v>1</v>
      </c>
      <c r="U60" s="9">
        <v>30</v>
      </c>
      <c r="V60" s="9">
        <v>0</v>
      </c>
      <c r="W60" s="9">
        <v>6</v>
      </c>
      <c r="X60" s="9">
        <v>6</v>
      </c>
      <c r="Y60" s="9">
        <v>1</v>
      </c>
      <c r="Z60" s="9">
        <v>31</v>
      </c>
      <c r="AA60" s="9">
        <v>30</v>
      </c>
      <c r="AB60" s="9">
        <v>0</v>
      </c>
      <c r="AC60" s="9">
        <v>6</v>
      </c>
      <c r="AD60" s="9">
        <v>25</v>
      </c>
      <c r="AE60" s="9">
        <v>31</v>
      </c>
      <c r="AF60" s="9">
        <v>0</v>
      </c>
      <c r="AG60" s="9">
        <v>31</v>
      </c>
      <c r="AH60" s="9">
        <v>31</v>
      </c>
      <c r="AI60" s="9">
        <v>31</v>
      </c>
      <c r="AJ60" s="9">
        <v>18992</v>
      </c>
      <c r="AK60" s="9">
        <v>10115</v>
      </c>
      <c r="AL60" s="9">
        <v>841</v>
      </c>
      <c r="AM60" s="9">
        <v>31</v>
      </c>
      <c r="AN60" s="9">
        <v>2</v>
      </c>
      <c r="AO60" s="9">
        <v>31</v>
      </c>
      <c r="AP60" s="9">
        <v>30</v>
      </c>
      <c r="AQ60" s="9">
        <v>31</v>
      </c>
      <c r="AR60" s="9">
        <v>27</v>
      </c>
      <c r="AS60" s="9">
        <v>0</v>
      </c>
      <c r="AT60" s="9">
        <v>4</v>
      </c>
      <c r="AU60" s="9">
        <v>6</v>
      </c>
      <c r="AV60" s="9">
        <v>15</v>
      </c>
      <c r="AW60" s="9">
        <v>6</v>
      </c>
      <c r="AX60" s="9">
        <v>0</v>
      </c>
      <c r="AY60" s="9">
        <v>0</v>
      </c>
      <c r="AZ60" s="9">
        <v>0</v>
      </c>
      <c r="BA60" s="9">
        <v>0</v>
      </c>
      <c r="BB60" s="9">
        <v>27</v>
      </c>
      <c r="BC60" s="18"/>
      <c r="BD60" s="9"/>
      <c r="BE60" s="9"/>
      <c r="BF60" s="9"/>
      <c r="BG60" s="10">
        <f t="shared" si="76"/>
        <v>93.939393939393938</v>
      </c>
      <c r="BH60" s="10">
        <f t="shared" si="77"/>
        <v>6.0606060606060606</v>
      </c>
      <c r="BI60" s="10">
        <f t="shared" si="78"/>
        <v>100</v>
      </c>
      <c r="BJ60" s="10">
        <f t="shared" si="79"/>
        <v>0</v>
      </c>
      <c r="BK60" s="10">
        <f t="shared" si="80"/>
        <v>0</v>
      </c>
      <c r="BL60" s="10">
        <f t="shared" si="81"/>
        <v>0</v>
      </c>
      <c r="BM60" s="10">
        <f t="shared" si="82"/>
        <v>3.225806451612903</v>
      </c>
      <c r="BN60" s="10">
        <f t="shared" si="83"/>
        <v>100</v>
      </c>
      <c r="BO60" s="10">
        <f t="shared" si="84"/>
        <v>100</v>
      </c>
      <c r="BP60" s="10">
        <f t="shared" si="15"/>
        <v>100</v>
      </c>
      <c r="BQ60" s="10">
        <f t="shared" si="85"/>
        <v>0</v>
      </c>
      <c r="BR60" s="10">
        <f t="shared" si="86"/>
        <v>100</v>
      </c>
      <c r="BS60" s="10">
        <f t="shared" si="87"/>
        <v>100</v>
      </c>
      <c r="BT60" s="10">
        <f t="shared" si="88"/>
        <v>3.225806451612903</v>
      </c>
      <c r="BU60" s="10">
        <f t="shared" si="89"/>
        <v>96.774193548387103</v>
      </c>
      <c r="BV60" s="10">
        <f t="shared" si="90"/>
        <v>0</v>
      </c>
      <c r="BW60" s="10">
        <f t="shared" si="90"/>
        <v>19.35483870967742</v>
      </c>
      <c r="BX60" s="10">
        <f t="shared" si="90"/>
        <v>19.35483870967742</v>
      </c>
      <c r="BY60" s="10">
        <f t="shared" si="91"/>
        <v>3.225806451612903</v>
      </c>
      <c r="BZ60" s="10">
        <f t="shared" si="92"/>
        <v>100</v>
      </c>
      <c r="CA60" s="10">
        <f t="shared" si="93"/>
        <v>96.774193548387103</v>
      </c>
      <c r="CB60" s="10">
        <f t="shared" si="94"/>
        <v>0</v>
      </c>
      <c r="CC60" s="10">
        <f t="shared" si="95"/>
        <v>19.35483870967742</v>
      </c>
      <c r="CD60" s="10">
        <f t="shared" si="96"/>
        <v>80.645161290322577</v>
      </c>
      <c r="CE60" s="10">
        <f t="shared" si="97"/>
        <v>100</v>
      </c>
      <c r="CF60" s="10">
        <f t="shared" si="98"/>
        <v>0</v>
      </c>
      <c r="CG60" s="10">
        <f t="shared" si="30"/>
        <v>100</v>
      </c>
      <c r="CH60" s="10">
        <f t="shared" si="99"/>
        <v>100</v>
      </c>
      <c r="CI60" s="10">
        <f t="shared" si="100"/>
        <v>100</v>
      </c>
      <c r="CJ60" s="10">
        <f t="shared" si="101"/>
        <v>53.259267059814661</v>
      </c>
      <c r="CK60" s="10">
        <f t="shared" si="102"/>
        <v>4.4281802864363939</v>
      </c>
      <c r="CL60" s="10">
        <f t="shared" si="103"/>
        <v>100</v>
      </c>
      <c r="CM60" s="10"/>
      <c r="CN60" s="10">
        <f t="shared" si="104"/>
        <v>100</v>
      </c>
      <c r="CO60" s="10">
        <f t="shared" si="105"/>
        <v>96.774193548387103</v>
      </c>
      <c r="CP60" s="10">
        <f t="shared" si="106"/>
        <v>100</v>
      </c>
      <c r="CQ60" s="10">
        <f t="shared" si="107"/>
        <v>100</v>
      </c>
      <c r="CR60" s="10">
        <f t="shared" si="108"/>
        <v>12.903225806451612</v>
      </c>
      <c r="CS60" s="10">
        <f t="shared" si="109"/>
        <v>87.096774193548384</v>
      </c>
    </row>
    <row r="61" spans="1:97">
      <c r="A61" s="22" t="s">
        <v>213</v>
      </c>
      <c r="B61" s="22"/>
      <c r="C61" s="23" t="s">
        <v>145</v>
      </c>
      <c r="D61" s="24">
        <v>104</v>
      </c>
      <c r="E61" s="24">
        <v>101</v>
      </c>
      <c r="F61" s="24">
        <v>3</v>
      </c>
      <c r="G61" s="24">
        <v>3</v>
      </c>
      <c r="H61" s="24">
        <v>0</v>
      </c>
      <c r="I61" s="24">
        <v>0</v>
      </c>
      <c r="J61" s="24">
        <v>0</v>
      </c>
      <c r="K61" s="24">
        <v>99</v>
      </c>
      <c r="L61" s="24">
        <v>1</v>
      </c>
      <c r="M61" s="24">
        <v>99</v>
      </c>
      <c r="N61" s="24">
        <v>99</v>
      </c>
      <c r="O61" s="24">
        <v>98</v>
      </c>
      <c r="P61" s="24">
        <v>0</v>
      </c>
      <c r="Q61" s="24">
        <v>0</v>
      </c>
      <c r="R61" s="24">
        <v>92</v>
      </c>
      <c r="S61" s="24">
        <v>87</v>
      </c>
      <c r="T61" s="24">
        <v>13</v>
      </c>
      <c r="U61" s="24">
        <v>79</v>
      </c>
      <c r="V61" s="24">
        <v>7</v>
      </c>
      <c r="W61" s="24">
        <v>27</v>
      </c>
      <c r="X61" s="24">
        <v>23</v>
      </c>
      <c r="Y61" s="24">
        <v>17</v>
      </c>
      <c r="Z61" s="24">
        <v>98</v>
      </c>
      <c r="AA61" s="24">
        <v>81</v>
      </c>
      <c r="AB61" s="24">
        <v>1</v>
      </c>
      <c r="AC61" s="24">
        <v>23</v>
      </c>
      <c r="AD61" s="24">
        <v>76</v>
      </c>
      <c r="AE61" s="24">
        <v>99</v>
      </c>
      <c r="AF61" s="24">
        <v>0</v>
      </c>
      <c r="AG61" s="24">
        <v>99</v>
      </c>
      <c r="AH61" s="24">
        <v>99</v>
      </c>
      <c r="AI61" s="24">
        <v>99</v>
      </c>
      <c r="AJ61" s="24">
        <v>37853</v>
      </c>
      <c r="AK61" s="24">
        <v>25727</v>
      </c>
      <c r="AL61" s="24">
        <v>2330</v>
      </c>
      <c r="AM61" s="24">
        <v>75</v>
      </c>
      <c r="AN61" s="24">
        <v>7</v>
      </c>
      <c r="AO61" s="24">
        <v>80</v>
      </c>
      <c r="AP61" s="24">
        <v>91</v>
      </c>
      <c r="AQ61" s="24">
        <v>80</v>
      </c>
      <c r="AR61" s="24">
        <v>63</v>
      </c>
      <c r="AS61" s="24">
        <v>26</v>
      </c>
      <c r="AT61" s="24">
        <v>13</v>
      </c>
      <c r="AU61" s="24">
        <v>26</v>
      </c>
      <c r="AV61" s="24">
        <v>33</v>
      </c>
      <c r="AW61" s="24">
        <v>15</v>
      </c>
      <c r="AX61" s="24">
        <v>7</v>
      </c>
      <c r="AY61" s="24">
        <v>3</v>
      </c>
      <c r="AZ61" s="24">
        <v>2</v>
      </c>
      <c r="BA61" s="24">
        <v>0</v>
      </c>
      <c r="BB61" s="24">
        <v>86</v>
      </c>
      <c r="BC61" s="25"/>
      <c r="BD61" s="24"/>
      <c r="BE61" s="24"/>
      <c r="BF61" s="24"/>
      <c r="BG61" s="26">
        <f t="shared" si="76"/>
        <v>97.115384615384613</v>
      </c>
      <c r="BH61" s="26">
        <f t="shared" si="77"/>
        <v>2.8846153846153846</v>
      </c>
      <c r="BI61" s="26">
        <f t="shared" si="78"/>
        <v>100</v>
      </c>
      <c r="BJ61" s="26">
        <f t="shared" si="79"/>
        <v>0</v>
      </c>
      <c r="BK61" s="26">
        <f t="shared" si="80"/>
        <v>0</v>
      </c>
      <c r="BL61" s="26">
        <f t="shared" si="81"/>
        <v>0</v>
      </c>
      <c r="BM61" s="26">
        <f t="shared" si="82"/>
        <v>1.0101010101010102</v>
      </c>
      <c r="BN61" s="26">
        <f t="shared" si="83"/>
        <v>100</v>
      </c>
      <c r="BO61" s="26">
        <f t="shared" si="84"/>
        <v>100</v>
      </c>
      <c r="BP61" s="26">
        <f t="shared" si="15"/>
        <v>98.98989898989899</v>
      </c>
      <c r="BQ61" s="26">
        <f t="shared" si="85"/>
        <v>0</v>
      </c>
      <c r="BR61" s="26">
        <f t="shared" si="86"/>
        <v>92.929292929292927</v>
      </c>
      <c r="BS61" s="26">
        <f t="shared" si="87"/>
        <v>87.878787878787875</v>
      </c>
      <c r="BT61" s="26">
        <f t="shared" si="88"/>
        <v>13.131313131313131</v>
      </c>
      <c r="BU61" s="26">
        <f t="shared" si="89"/>
        <v>79.797979797979792</v>
      </c>
      <c r="BV61" s="26">
        <f t="shared" si="90"/>
        <v>7.0707070707070709</v>
      </c>
      <c r="BW61" s="26">
        <f t="shared" si="90"/>
        <v>27.272727272727273</v>
      </c>
      <c r="BX61" s="26">
        <f t="shared" si="90"/>
        <v>23.232323232323232</v>
      </c>
      <c r="BY61" s="26">
        <f t="shared" si="91"/>
        <v>17.171717171717173</v>
      </c>
      <c r="BZ61" s="26">
        <f t="shared" si="92"/>
        <v>98.98989898989899</v>
      </c>
      <c r="CA61" s="26">
        <f t="shared" si="93"/>
        <v>81.818181818181813</v>
      </c>
      <c r="CB61" s="26">
        <f t="shared" si="94"/>
        <v>1.0101010101010102</v>
      </c>
      <c r="CC61" s="26">
        <f t="shared" si="95"/>
        <v>23.232323232323232</v>
      </c>
      <c r="CD61" s="26">
        <f t="shared" si="96"/>
        <v>76.767676767676761</v>
      </c>
      <c r="CE61" s="26">
        <f t="shared" si="97"/>
        <v>100</v>
      </c>
      <c r="CF61" s="26">
        <f t="shared" si="98"/>
        <v>0</v>
      </c>
      <c r="CG61" s="26">
        <f t="shared" si="30"/>
        <v>100</v>
      </c>
      <c r="CH61" s="26">
        <f t="shared" si="99"/>
        <v>100</v>
      </c>
      <c r="CI61" s="26">
        <f t="shared" si="100"/>
        <v>100</v>
      </c>
      <c r="CJ61" s="26">
        <f t="shared" si="101"/>
        <v>67.965550947084779</v>
      </c>
      <c r="CK61" s="26">
        <f t="shared" si="102"/>
        <v>6.1553905899136128</v>
      </c>
      <c r="CL61" s="26">
        <f t="shared" si="103"/>
        <v>75.757575757575751</v>
      </c>
      <c r="CM61" s="26"/>
      <c r="CN61" s="26">
        <f t="shared" si="104"/>
        <v>80.808080808080803</v>
      </c>
      <c r="CO61" s="26">
        <f t="shared" si="105"/>
        <v>91.919191919191917</v>
      </c>
      <c r="CP61" s="26">
        <f t="shared" si="106"/>
        <v>80.808080808080803</v>
      </c>
      <c r="CQ61" s="26">
        <f t="shared" si="107"/>
        <v>70.786516853932582</v>
      </c>
      <c r="CR61" s="26">
        <f t="shared" si="108"/>
        <v>13.131313131313131</v>
      </c>
      <c r="CS61" s="26">
        <f t="shared" si="109"/>
        <v>86.868686868686865</v>
      </c>
    </row>
    <row r="62" spans="1:97">
      <c r="A62" s="8" t="s">
        <v>214</v>
      </c>
      <c r="B62" s="8" t="s">
        <v>215</v>
      </c>
      <c r="C62" s="21" t="s">
        <v>145</v>
      </c>
      <c r="D62" s="9">
        <v>37</v>
      </c>
      <c r="E62" s="9">
        <v>37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37</v>
      </c>
      <c r="L62" s="9">
        <v>34</v>
      </c>
      <c r="M62" s="9">
        <v>37</v>
      </c>
      <c r="N62" s="9">
        <v>37</v>
      </c>
      <c r="O62" s="9">
        <v>37</v>
      </c>
      <c r="P62" s="9">
        <v>0</v>
      </c>
      <c r="Q62" s="9">
        <v>0</v>
      </c>
      <c r="R62" s="9">
        <v>37</v>
      </c>
      <c r="S62" s="9">
        <v>37</v>
      </c>
      <c r="T62" s="9">
        <v>0</v>
      </c>
      <c r="U62" s="9">
        <v>37</v>
      </c>
      <c r="V62" s="9">
        <v>0</v>
      </c>
      <c r="W62" s="9">
        <v>19</v>
      </c>
      <c r="X62" s="9">
        <v>19</v>
      </c>
      <c r="Y62" s="9">
        <v>0</v>
      </c>
      <c r="Z62" s="9">
        <v>37</v>
      </c>
      <c r="AA62" s="9">
        <v>37</v>
      </c>
      <c r="AB62" s="9">
        <v>0</v>
      </c>
      <c r="AC62" s="9">
        <v>1</v>
      </c>
      <c r="AD62" s="9">
        <v>36</v>
      </c>
      <c r="AE62" s="9">
        <v>37</v>
      </c>
      <c r="AF62" s="9">
        <v>0</v>
      </c>
      <c r="AG62" s="9">
        <v>37</v>
      </c>
      <c r="AH62" s="9">
        <v>37</v>
      </c>
      <c r="AI62" s="9">
        <v>37</v>
      </c>
      <c r="AJ62" s="9">
        <v>1892</v>
      </c>
      <c r="AK62" s="9">
        <v>876</v>
      </c>
      <c r="AL62" s="9">
        <v>35</v>
      </c>
      <c r="AM62" s="9">
        <v>9</v>
      </c>
      <c r="AN62" s="9">
        <v>0</v>
      </c>
      <c r="AO62" s="9">
        <v>37</v>
      </c>
      <c r="AP62" s="9">
        <v>37</v>
      </c>
      <c r="AQ62" s="9">
        <v>37</v>
      </c>
      <c r="AR62" s="9">
        <v>34</v>
      </c>
      <c r="AS62" s="9">
        <v>0</v>
      </c>
      <c r="AT62" s="9">
        <v>5</v>
      </c>
      <c r="AU62" s="9">
        <v>4</v>
      </c>
      <c r="AV62" s="9">
        <v>12</v>
      </c>
      <c r="AW62" s="9">
        <v>11</v>
      </c>
      <c r="AX62" s="9">
        <v>4</v>
      </c>
      <c r="AY62" s="9">
        <v>1</v>
      </c>
      <c r="AZ62" s="9">
        <v>0</v>
      </c>
      <c r="BA62" s="9">
        <v>0</v>
      </c>
      <c r="BB62" s="9">
        <v>32</v>
      </c>
      <c r="BC62" s="18"/>
      <c r="BD62" s="9"/>
      <c r="BE62" s="9"/>
      <c r="BF62" s="9"/>
      <c r="BG62" s="10">
        <f t="shared" si="76"/>
        <v>100</v>
      </c>
      <c r="BH62" s="10">
        <f t="shared" si="77"/>
        <v>0</v>
      </c>
      <c r="BI62" s="10" t="e">
        <f t="shared" si="78"/>
        <v>#DIV/0!</v>
      </c>
      <c r="BJ62" s="10" t="e">
        <f t="shared" si="79"/>
        <v>#DIV/0!</v>
      </c>
      <c r="BK62" s="10" t="e">
        <f t="shared" si="80"/>
        <v>#DIV/0!</v>
      </c>
      <c r="BL62" s="10" t="e">
        <f t="shared" si="81"/>
        <v>#DIV/0!</v>
      </c>
      <c r="BM62" s="10">
        <f t="shared" si="82"/>
        <v>91.891891891891888</v>
      </c>
      <c r="BN62" s="10">
        <f t="shared" si="83"/>
        <v>100</v>
      </c>
      <c r="BO62" s="10">
        <f t="shared" si="84"/>
        <v>100</v>
      </c>
      <c r="BP62" s="10">
        <f t="shared" si="15"/>
        <v>100</v>
      </c>
      <c r="BQ62" s="10">
        <f t="shared" si="85"/>
        <v>0</v>
      </c>
      <c r="BR62" s="10">
        <f t="shared" si="86"/>
        <v>100</v>
      </c>
      <c r="BS62" s="10">
        <f t="shared" si="87"/>
        <v>100</v>
      </c>
      <c r="BT62" s="10">
        <f t="shared" si="88"/>
        <v>0</v>
      </c>
      <c r="BU62" s="10">
        <f t="shared" si="89"/>
        <v>100</v>
      </c>
      <c r="BV62" s="10">
        <f t="shared" si="90"/>
        <v>0</v>
      </c>
      <c r="BW62" s="10">
        <f t="shared" si="90"/>
        <v>51.351351351351354</v>
      </c>
      <c r="BX62" s="10">
        <f t="shared" si="90"/>
        <v>51.351351351351354</v>
      </c>
      <c r="BY62" s="10">
        <f t="shared" si="91"/>
        <v>0</v>
      </c>
      <c r="BZ62" s="10">
        <f t="shared" si="92"/>
        <v>100</v>
      </c>
      <c r="CA62" s="10">
        <f t="shared" si="93"/>
        <v>100</v>
      </c>
      <c r="CB62" s="10">
        <f t="shared" si="94"/>
        <v>0</v>
      </c>
      <c r="CC62" s="10">
        <f t="shared" si="95"/>
        <v>2.7027027027027026</v>
      </c>
      <c r="CD62" s="10">
        <f t="shared" si="96"/>
        <v>97.297297297297291</v>
      </c>
      <c r="CE62" s="10">
        <f t="shared" si="97"/>
        <v>100</v>
      </c>
      <c r="CF62" s="10">
        <f t="shared" si="98"/>
        <v>0</v>
      </c>
      <c r="CG62" s="10">
        <f t="shared" si="30"/>
        <v>100</v>
      </c>
      <c r="CH62" s="10">
        <f t="shared" si="99"/>
        <v>100</v>
      </c>
      <c r="CI62" s="10">
        <f t="shared" si="100"/>
        <v>100</v>
      </c>
      <c r="CJ62" s="10">
        <f t="shared" si="101"/>
        <v>46.300211416490484</v>
      </c>
      <c r="CK62" s="10">
        <f t="shared" si="102"/>
        <v>1.8498942917547569</v>
      </c>
      <c r="CL62" s="10">
        <f t="shared" si="103"/>
        <v>24.324324324324323</v>
      </c>
      <c r="CM62" s="10"/>
      <c r="CN62" s="10">
        <f t="shared" si="104"/>
        <v>100</v>
      </c>
      <c r="CO62" s="10">
        <f t="shared" si="105"/>
        <v>100</v>
      </c>
      <c r="CP62" s="10">
        <f t="shared" si="106"/>
        <v>100</v>
      </c>
      <c r="CQ62" s="10">
        <f t="shared" si="107"/>
        <v>100</v>
      </c>
      <c r="CR62" s="10">
        <f t="shared" si="108"/>
        <v>13.513513513513514</v>
      </c>
      <c r="CS62" s="10">
        <f t="shared" si="109"/>
        <v>86.486486486486484</v>
      </c>
    </row>
    <row r="63" spans="1:97">
      <c r="A63" s="8" t="s">
        <v>214</v>
      </c>
      <c r="B63" s="8" t="s">
        <v>216</v>
      </c>
      <c r="C63" s="21" t="s">
        <v>145</v>
      </c>
      <c r="D63" s="9">
        <v>33</v>
      </c>
      <c r="E63" s="9">
        <v>29</v>
      </c>
      <c r="F63" s="9">
        <v>4</v>
      </c>
      <c r="G63" s="9">
        <v>4</v>
      </c>
      <c r="H63" s="9">
        <v>0</v>
      </c>
      <c r="I63" s="9">
        <v>0</v>
      </c>
      <c r="J63" s="9">
        <v>0</v>
      </c>
      <c r="K63" s="9">
        <v>25</v>
      </c>
      <c r="L63" s="9">
        <v>24</v>
      </c>
      <c r="M63" s="9">
        <v>24</v>
      </c>
      <c r="N63" s="9">
        <v>25</v>
      </c>
      <c r="O63" s="9">
        <v>25</v>
      </c>
      <c r="P63" s="9">
        <v>0</v>
      </c>
      <c r="Q63" s="9">
        <v>0</v>
      </c>
      <c r="R63" s="9">
        <v>25</v>
      </c>
      <c r="S63" s="9">
        <v>25</v>
      </c>
      <c r="T63" s="9">
        <v>1</v>
      </c>
      <c r="U63" s="9">
        <v>24</v>
      </c>
      <c r="V63" s="9">
        <v>0</v>
      </c>
      <c r="W63" s="9">
        <v>14</v>
      </c>
      <c r="X63" s="9">
        <v>14</v>
      </c>
      <c r="Y63" s="9">
        <v>0</v>
      </c>
      <c r="Z63" s="9">
        <v>25</v>
      </c>
      <c r="AA63" s="9">
        <v>25</v>
      </c>
      <c r="AB63" s="9">
        <v>0</v>
      </c>
      <c r="AC63" s="9">
        <v>0</v>
      </c>
      <c r="AD63" s="9">
        <v>25</v>
      </c>
      <c r="AE63" s="9">
        <v>25</v>
      </c>
      <c r="AF63" s="9">
        <v>0</v>
      </c>
      <c r="AG63" s="9">
        <v>25</v>
      </c>
      <c r="AH63" s="9">
        <v>25</v>
      </c>
      <c r="AI63" s="9">
        <v>23</v>
      </c>
      <c r="AJ63" s="9">
        <v>9933</v>
      </c>
      <c r="AK63" s="9">
        <v>4579</v>
      </c>
      <c r="AL63" s="9">
        <v>783</v>
      </c>
      <c r="AM63" s="9">
        <v>24</v>
      </c>
      <c r="AN63" s="9">
        <v>6</v>
      </c>
      <c r="AO63" s="9">
        <v>25</v>
      </c>
      <c r="AP63" s="9">
        <v>25</v>
      </c>
      <c r="AQ63" s="9">
        <v>25</v>
      </c>
      <c r="AR63" s="9">
        <v>25</v>
      </c>
      <c r="AS63" s="9">
        <v>0</v>
      </c>
      <c r="AT63" s="9">
        <v>10</v>
      </c>
      <c r="AU63" s="9">
        <v>14</v>
      </c>
      <c r="AV63" s="9">
        <v>1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15</v>
      </c>
      <c r="BC63" s="18"/>
      <c r="BD63" s="9"/>
      <c r="BE63" s="9"/>
      <c r="BF63" s="9"/>
      <c r="BG63" s="10">
        <f t="shared" si="76"/>
        <v>87.878787878787875</v>
      </c>
      <c r="BH63" s="10">
        <f t="shared" si="77"/>
        <v>12.121212121212121</v>
      </c>
      <c r="BI63" s="10">
        <f t="shared" si="78"/>
        <v>100</v>
      </c>
      <c r="BJ63" s="10">
        <f t="shared" si="79"/>
        <v>0</v>
      </c>
      <c r="BK63" s="10">
        <f t="shared" si="80"/>
        <v>0</v>
      </c>
      <c r="BL63" s="10">
        <f t="shared" si="81"/>
        <v>0</v>
      </c>
      <c r="BM63" s="10">
        <f t="shared" si="82"/>
        <v>96</v>
      </c>
      <c r="BN63" s="10">
        <f t="shared" si="83"/>
        <v>96</v>
      </c>
      <c r="BO63" s="10">
        <f t="shared" si="84"/>
        <v>100</v>
      </c>
      <c r="BP63" s="10">
        <f t="shared" si="15"/>
        <v>100</v>
      </c>
      <c r="BQ63" s="10">
        <f t="shared" si="85"/>
        <v>0</v>
      </c>
      <c r="BR63" s="10">
        <f t="shared" si="86"/>
        <v>100</v>
      </c>
      <c r="BS63" s="10">
        <f t="shared" si="87"/>
        <v>100</v>
      </c>
      <c r="BT63" s="10">
        <f t="shared" si="88"/>
        <v>4</v>
      </c>
      <c r="BU63" s="10">
        <f t="shared" si="89"/>
        <v>96</v>
      </c>
      <c r="BV63" s="10">
        <f t="shared" si="90"/>
        <v>0</v>
      </c>
      <c r="BW63" s="10">
        <f t="shared" si="90"/>
        <v>56</v>
      </c>
      <c r="BX63" s="10">
        <f t="shared" si="90"/>
        <v>56</v>
      </c>
      <c r="BY63" s="10">
        <f t="shared" si="91"/>
        <v>0</v>
      </c>
      <c r="BZ63" s="10">
        <f t="shared" si="92"/>
        <v>100</v>
      </c>
      <c r="CA63" s="10">
        <f t="shared" si="93"/>
        <v>100</v>
      </c>
      <c r="CB63" s="10">
        <f t="shared" si="94"/>
        <v>0</v>
      </c>
      <c r="CC63" s="10">
        <f t="shared" si="95"/>
        <v>0</v>
      </c>
      <c r="CD63" s="10">
        <f t="shared" si="96"/>
        <v>100</v>
      </c>
      <c r="CE63" s="10">
        <f t="shared" si="97"/>
        <v>100</v>
      </c>
      <c r="CF63" s="10">
        <f t="shared" si="98"/>
        <v>0</v>
      </c>
      <c r="CG63" s="10">
        <f t="shared" si="30"/>
        <v>100</v>
      </c>
      <c r="CH63" s="10">
        <f t="shared" si="99"/>
        <v>100</v>
      </c>
      <c r="CI63" s="10">
        <f t="shared" si="100"/>
        <v>92</v>
      </c>
      <c r="CJ63" s="10">
        <f t="shared" si="101"/>
        <v>46.098862377932143</v>
      </c>
      <c r="CK63" s="10">
        <f t="shared" si="102"/>
        <v>7.8828148595590459</v>
      </c>
      <c r="CL63" s="10">
        <f t="shared" si="103"/>
        <v>96</v>
      </c>
      <c r="CM63" s="10"/>
      <c r="CN63" s="10">
        <f t="shared" si="104"/>
        <v>100</v>
      </c>
      <c r="CO63" s="10">
        <f t="shared" si="105"/>
        <v>100</v>
      </c>
      <c r="CP63" s="10">
        <f t="shared" si="106"/>
        <v>100</v>
      </c>
      <c r="CQ63" s="10">
        <f t="shared" si="107"/>
        <v>100</v>
      </c>
      <c r="CR63" s="10">
        <f t="shared" si="108"/>
        <v>40</v>
      </c>
      <c r="CS63" s="10">
        <f t="shared" si="109"/>
        <v>60</v>
      </c>
    </row>
    <row r="64" spans="1:97">
      <c r="A64" s="22" t="s">
        <v>217</v>
      </c>
      <c r="B64" s="22"/>
      <c r="C64" s="23" t="s">
        <v>145</v>
      </c>
      <c r="D64" s="24">
        <v>70</v>
      </c>
      <c r="E64" s="24">
        <v>66</v>
      </c>
      <c r="F64" s="24">
        <v>4</v>
      </c>
      <c r="G64" s="24">
        <v>4</v>
      </c>
      <c r="H64" s="24">
        <v>0</v>
      </c>
      <c r="I64" s="24">
        <v>0</v>
      </c>
      <c r="J64" s="24">
        <v>0</v>
      </c>
      <c r="K64" s="24">
        <v>62</v>
      </c>
      <c r="L64" s="24">
        <v>58</v>
      </c>
      <c r="M64" s="24">
        <v>61</v>
      </c>
      <c r="N64" s="24">
        <v>62</v>
      </c>
      <c r="O64" s="24">
        <v>62</v>
      </c>
      <c r="P64" s="24">
        <v>0</v>
      </c>
      <c r="Q64" s="24">
        <v>0</v>
      </c>
      <c r="R64" s="24">
        <v>62</v>
      </c>
      <c r="S64" s="24">
        <v>62</v>
      </c>
      <c r="T64" s="24">
        <v>1</v>
      </c>
      <c r="U64" s="24">
        <v>61</v>
      </c>
      <c r="V64" s="24">
        <v>0</v>
      </c>
      <c r="W64" s="24">
        <v>33</v>
      </c>
      <c r="X64" s="24">
        <v>33</v>
      </c>
      <c r="Y64" s="24">
        <v>0</v>
      </c>
      <c r="Z64" s="24">
        <v>62</v>
      </c>
      <c r="AA64" s="24">
        <v>62</v>
      </c>
      <c r="AB64" s="24">
        <v>0</v>
      </c>
      <c r="AC64" s="24">
        <v>1</v>
      </c>
      <c r="AD64" s="24">
        <v>61</v>
      </c>
      <c r="AE64" s="24">
        <v>62</v>
      </c>
      <c r="AF64" s="24">
        <v>0</v>
      </c>
      <c r="AG64" s="24">
        <v>62</v>
      </c>
      <c r="AH64" s="24">
        <v>62</v>
      </c>
      <c r="AI64" s="24">
        <v>60</v>
      </c>
      <c r="AJ64" s="24">
        <v>11825</v>
      </c>
      <c r="AK64" s="24">
        <v>5455</v>
      </c>
      <c r="AL64" s="24">
        <v>818</v>
      </c>
      <c r="AM64" s="24">
        <v>33</v>
      </c>
      <c r="AN64" s="24">
        <v>6</v>
      </c>
      <c r="AO64" s="24">
        <v>62</v>
      </c>
      <c r="AP64" s="24">
        <v>62</v>
      </c>
      <c r="AQ64" s="24">
        <v>62</v>
      </c>
      <c r="AR64" s="24">
        <v>59</v>
      </c>
      <c r="AS64" s="24">
        <v>0</v>
      </c>
      <c r="AT64" s="24">
        <v>15</v>
      </c>
      <c r="AU64" s="24">
        <v>18</v>
      </c>
      <c r="AV64" s="24">
        <v>13</v>
      </c>
      <c r="AW64" s="24">
        <v>11</v>
      </c>
      <c r="AX64" s="24">
        <v>4</v>
      </c>
      <c r="AY64" s="24">
        <v>1</v>
      </c>
      <c r="AZ64" s="24">
        <v>0</v>
      </c>
      <c r="BA64" s="24">
        <v>0</v>
      </c>
      <c r="BB64" s="24">
        <v>47</v>
      </c>
      <c r="BC64" s="25"/>
      <c r="BD64" s="24"/>
      <c r="BE64" s="24"/>
      <c r="BF64" s="24"/>
      <c r="BG64" s="26">
        <f t="shared" si="76"/>
        <v>94.285714285714292</v>
      </c>
      <c r="BH64" s="26">
        <f t="shared" si="77"/>
        <v>5.7142857142857144</v>
      </c>
      <c r="BI64" s="26">
        <f t="shared" si="78"/>
        <v>100</v>
      </c>
      <c r="BJ64" s="26">
        <f t="shared" si="79"/>
        <v>0</v>
      </c>
      <c r="BK64" s="26">
        <f t="shared" si="80"/>
        <v>0</v>
      </c>
      <c r="BL64" s="26">
        <f t="shared" si="81"/>
        <v>0</v>
      </c>
      <c r="BM64" s="26">
        <f t="shared" si="82"/>
        <v>93.548387096774192</v>
      </c>
      <c r="BN64" s="26">
        <f t="shared" si="83"/>
        <v>98.387096774193552</v>
      </c>
      <c r="BO64" s="26">
        <f t="shared" si="84"/>
        <v>100</v>
      </c>
      <c r="BP64" s="26">
        <f t="shared" si="15"/>
        <v>100</v>
      </c>
      <c r="BQ64" s="26">
        <f t="shared" si="85"/>
        <v>0</v>
      </c>
      <c r="BR64" s="26">
        <f t="shared" si="86"/>
        <v>100</v>
      </c>
      <c r="BS64" s="26">
        <f t="shared" si="87"/>
        <v>100</v>
      </c>
      <c r="BT64" s="26">
        <f t="shared" si="88"/>
        <v>1.6129032258064515</v>
      </c>
      <c r="BU64" s="26">
        <f t="shared" si="89"/>
        <v>98.387096774193552</v>
      </c>
      <c r="BV64" s="26">
        <f t="shared" si="90"/>
        <v>0</v>
      </c>
      <c r="BW64" s="26">
        <f t="shared" si="90"/>
        <v>53.225806451612904</v>
      </c>
      <c r="BX64" s="26">
        <f t="shared" si="90"/>
        <v>53.225806451612904</v>
      </c>
      <c r="BY64" s="26">
        <f t="shared" si="91"/>
        <v>0</v>
      </c>
      <c r="BZ64" s="26">
        <f t="shared" si="92"/>
        <v>100</v>
      </c>
      <c r="CA64" s="26">
        <f t="shared" si="93"/>
        <v>100</v>
      </c>
      <c r="CB64" s="26">
        <f t="shared" si="94"/>
        <v>0</v>
      </c>
      <c r="CC64" s="26">
        <f t="shared" si="95"/>
        <v>1.6129032258064515</v>
      </c>
      <c r="CD64" s="26">
        <f t="shared" si="96"/>
        <v>98.387096774193552</v>
      </c>
      <c r="CE64" s="26">
        <f t="shared" si="97"/>
        <v>100</v>
      </c>
      <c r="CF64" s="26">
        <f t="shared" si="98"/>
        <v>0</v>
      </c>
      <c r="CG64" s="26">
        <f t="shared" si="30"/>
        <v>100</v>
      </c>
      <c r="CH64" s="26">
        <f t="shared" si="99"/>
        <v>100</v>
      </c>
      <c r="CI64" s="26">
        <f t="shared" si="100"/>
        <v>96.774193548387103</v>
      </c>
      <c r="CJ64" s="26">
        <f t="shared" si="101"/>
        <v>46.131078224101479</v>
      </c>
      <c r="CK64" s="26">
        <f t="shared" si="102"/>
        <v>6.9175475687103596</v>
      </c>
      <c r="CL64" s="26">
        <f t="shared" si="103"/>
        <v>53.225806451612904</v>
      </c>
      <c r="CM64" s="26"/>
      <c r="CN64" s="26">
        <f t="shared" si="104"/>
        <v>100</v>
      </c>
      <c r="CO64" s="26">
        <f t="shared" si="105"/>
        <v>100</v>
      </c>
      <c r="CP64" s="26">
        <f t="shared" si="106"/>
        <v>100</v>
      </c>
      <c r="CQ64" s="26">
        <f t="shared" si="107"/>
        <v>100</v>
      </c>
      <c r="CR64" s="26">
        <f t="shared" si="108"/>
        <v>24.193548387096776</v>
      </c>
      <c r="CS64" s="26">
        <f t="shared" si="109"/>
        <v>75.806451612903231</v>
      </c>
    </row>
    <row r="65" spans="1:97">
      <c r="A65" s="8" t="s">
        <v>218</v>
      </c>
      <c r="B65" s="8" t="s">
        <v>219</v>
      </c>
      <c r="C65" s="21" t="s">
        <v>145</v>
      </c>
      <c r="D65" s="9">
        <v>24</v>
      </c>
      <c r="E65" s="9">
        <v>24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24</v>
      </c>
      <c r="L65" s="9">
        <v>0</v>
      </c>
      <c r="M65" s="9">
        <v>23</v>
      </c>
      <c r="N65" s="9">
        <v>24</v>
      </c>
      <c r="O65" s="9">
        <v>24</v>
      </c>
      <c r="P65" s="9">
        <v>0</v>
      </c>
      <c r="Q65" s="9">
        <v>0</v>
      </c>
      <c r="R65" s="9">
        <v>20</v>
      </c>
      <c r="S65" s="9">
        <v>13</v>
      </c>
      <c r="T65" s="9">
        <v>3</v>
      </c>
      <c r="U65" s="9">
        <v>21</v>
      </c>
      <c r="V65" s="9">
        <v>0</v>
      </c>
      <c r="W65" s="9">
        <v>16</v>
      </c>
      <c r="X65" s="9">
        <v>14</v>
      </c>
      <c r="Y65" s="9">
        <v>4</v>
      </c>
      <c r="Z65" s="9">
        <v>24</v>
      </c>
      <c r="AA65" s="9">
        <v>20</v>
      </c>
      <c r="AB65" s="9">
        <v>0</v>
      </c>
      <c r="AC65" s="9">
        <v>11</v>
      </c>
      <c r="AD65" s="9">
        <v>13</v>
      </c>
      <c r="AE65" s="9">
        <v>24</v>
      </c>
      <c r="AF65" s="9">
        <v>0</v>
      </c>
      <c r="AG65" s="9">
        <v>24</v>
      </c>
      <c r="AH65" s="9">
        <v>24</v>
      </c>
      <c r="AI65" s="9">
        <v>24</v>
      </c>
      <c r="AJ65" s="9">
        <v>1685</v>
      </c>
      <c r="AK65" s="9">
        <v>646</v>
      </c>
      <c r="AL65" s="9">
        <v>346</v>
      </c>
      <c r="AM65" s="9">
        <v>21</v>
      </c>
      <c r="AN65" s="9">
        <v>0</v>
      </c>
      <c r="AO65" s="9">
        <v>24</v>
      </c>
      <c r="AP65" s="9">
        <v>20</v>
      </c>
      <c r="AQ65" s="9">
        <v>24</v>
      </c>
      <c r="AR65" s="9">
        <v>18</v>
      </c>
      <c r="AS65" s="9">
        <v>4</v>
      </c>
      <c r="AT65" s="9">
        <v>5</v>
      </c>
      <c r="AU65" s="9">
        <v>8</v>
      </c>
      <c r="AV65" s="9">
        <v>4</v>
      </c>
      <c r="AW65" s="9">
        <v>5</v>
      </c>
      <c r="AX65" s="9">
        <v>2</v>
      </c>
      <c r="AY65" s="9">
        <v>0</v>
      </c>
      <c r="AZ65" s="9">
        <v>0</v>
      </c>
      <c r="BA65" s="9">
        <v>0</v>
      </c>
      <c r="BB65" s="9">
        <v>19</v>
      </c>
      <c r="BC65" s="18"/>
      <c r="BD65" s="9"/>
      <c r="BE65" s="9"/>
      <c r="BF65" s="9"/>
      <c r="BG65" s="10">
        <f t="shared" si="76"/>
        <v>100</v>
      </c>
      <c r="BH65" s="10">
        <f t="shared" si="77"/>
        <v>0</v>
      </c>
      <c r="BI65" s="10" t="e">
        <f t="shared" si="78"/>
        <v>#DIV/0!</v>
      </c>
      <c r="BJ65" s="10" t="e">
        <f t="shared" si="79"/>
        <v>#DIV/0!</v>
      </c>
      <c r="BK65" s="10" t="e">
        <f t="shared" si="80"/>
        <v>#DIV/0!</v>
      </c>
      <c r="BL65" s="10" t="e">
        <f t="shared" si="81"/>
        <v>#DIV/0!</v>
      </c>
      <c r="BM65" s="10">
        <f t="shared" si="82"/>
        <v>0</v>
      </c>
      <c r="BN65" s="10">
        <f t="shared" si="83"/>
        <v>95.833333333333329</v>
      </c>
      <c r="BO65" s="10">
        <f t="shared" si="84"/>
        <v>100</v>
      </c>
      <c r="BP65" s="10">
        <f t="shared" si="15"/>
        <v>100</v>
      </c>
      <c r="BQ65" s="10">
        <f t="shared" si="85"/>
        <v>0</v>
      </c>
      <c r="BR65" s="10">
        <f t="shared" si="86"/>
        <v>83.333333333333329</v>
      </c>
      <c r="BS65" s="10">
        <f t="shared" si="87"/>
        <v>54.166666666666664</v>
      </c>
      <c r="BT65" s="10">
        <f t="shared" si="88"/>
        <v>12.5</v>
      </c>
      <c r="BU65" s="10">
        <f t="shared" si="89"/>
        <v>87.5</v>
      </c>
      <c r="BV65" s="10">
        <f t="shared" si="90"/>
        <v>0</v>
      </c>
      <c r="BW65" s="10">
        <f t="shared" si="90"/>
        <v>66.666666666666671</v>
      </c>
      <c r="BX65" s="10">
        <f t="shared" si="90"/>
        <v>58.333333333333336</v>
      </c>
      <c r="BY65" s="10">
        <f t="shared" si="91"/>
        <v>16.666666666666668</v>
      </c>
      <c r="BZ65" s="10">
        <f t="shared" si="92"/>
        <v>100</v>
      </c>
      <c r="CA65" s="10">
        <f t="shared" si="93"/>
        <v>83.333333333333329</v>
      </c>
      <c r="CB65" s="10">
        <f t="shared" si="94"/>
        <v>0</v>
      </c>
      <c r="CC65" s="10">
        <f t="shared" si="95"/>
        <v>45.833333333333336</v>
      </c>
      <c r="CD65" s="10">
        <f t="shared" si="96"/>
        <v>54.166666666666664</v>
      </c>
      <c r="CE65" s="10">
        <f t="shared" si="97"/>
        <v>100</v>
      </c>
      <c r="CF65" s="10">
        <f t="shared" si="98"/>
        <v>0</v>
      </c>
      <c r="CG65" s="10">
        <f t="shared" si="30"/>
        <v>100</v>
      </c>
      <c r="CH65" s="10">
        <f t="shared" si="99"/>
        <v>100</v>
      </c>
      <c r="CI65" s="10">
        <f t="shared" si="100"/>
        <v>100</v>
      </c>
      <c r="CJ65" s="10">
        <f t="shared" si="101"/>
        <v>38.338278931750743</v>
      </c>
      <c r="CK65" s="10">
        <f t="shared" si="102"/>
        <v>20.534124629080118</v>
      </c>
      <c r="CL65" s="10">
        <f t="shared" si="103"/>
        <v>87.5</v>
      </c>
      <c r="CM65" s="10"/>
      <c r="CN65" s="10">
        <f t="shared" si="104"/>
        <v>100</v>
      </c>
      <c r="CO65" s="10">
        <f t="shared" si="105"/>
        <v>83.333333333333329</v>
      </c>
      <c r="CP65" s="10">
        <f t="shared" si="106"/>
        <v>100</v>
      </c>
      <c r="CQ65" s="10">
        <f t="shared" si="107"/>
        <v>81.818181818181813</v>
      </c>
      <c r="CR65" s="10">
        <f t="shared" si="108"/>
        <v>20.833333333333332</v>
      </c>
      <c r="CS65" s="10">
        <f t="shared" si="109"/>
        <v>79.166666666666671</v>
      </c>
    </row>
    <row r="66" spans="1:97">
      <c r="A66" s="8" t="s">
        <v>218</v>
      </c>
      <c r="B66" s="8" t="s">
        <v>220</v>
      </c>
      <c r="C66" s="21" t="s">
        <v>145</v>
      </c>
      <c r="D66" s="9">
        <v>41</v>
      </c>
      <c r="E66" s="9">
        <v>39</v>
      </c>
      <c r="F66" s="9">
        <v>2</v>
      </c>
      <c r="G66" s="9">
        <v>0</v>
      </c>
      <c r="H66" s="9">
        <v>0</v>
      </c>
      <c r="I66" s="9">
        <v>0</v>
      </c>
      <c r="J66" s="9">
        <v>2</v>
      </c>
      <c r="K66" s="9">
        <v>39</v>
      </c>
      <c r="L66" s="9">
        <v>1</v>
      </c>
      <c r="M66" s="9">
        <v>37</v>
      </c>
      <c r="N66" s="9">
        <v>39</v>
      </c>
      <c r="O66" s="9">
        <v>39</v>
      </c>
      <c r="P66" s="9">
        <v>0</v>
      </c>
      <c r="Q66" s="9">
        <v>0</v>
      </c>
      <c r="R66" s="9">
        <v>33</v>
      </c>
      <c r="S66" s="9">
        <v>9</v>
      </c>
      <c r="T66" s="9">
        <v>0</v>
      </c>
      <c r="U66" s="9">
        <v>9</v>
      </c>
      <c r="V66" s="9">
        <v>30</v>
      </c>
      <c r="W66" s="9">
        <v>33</v>
      </c>
      <c r="X66" s="9">
        <v>5</v>
      </c>
      <c r="Y66" s="9">
        <v>2</v>
      </c>
      <c r="Z66" s="9">
        <v>39</v>
      </c>
      <c r="AA66" s="9">
        <v>37</v>
      </c>
      <c r="AB66" s="9">
        <v>0</v>
      </c>
      <c r="AC66" s="9">
        <v>4</v>
      </c>
      <c r="AD66" s="9">
        <v>35</v>
      </c>
      <c r="AE66" s="9">
        <v>39</v>
      </c>
      <c r="AF66" s="9">
        <v>0</v>
      </c>
      <c r="AG66" s="9">
        <v>39</v>
      </c>
      <c r="AH66" s="9">
        <v>39</v>
      </c>
      <c r="AI66" s="9">
        <v>39</v>
      </c>
      <c r="AJ66" s="9">
        <v>1685</v>
      </c>
      <c r="AK66" s="9">
        <v>629</v>
      </c>
      <c r="AL66" s="9">
        <v>237</v>
      </c>
      <c r="AM66" s="9">
        <v>11</v>
      </c>
      <c r="AN66" s="9">
        <v>3</v>
      </c>
      <c r="AO66" s="9">
        <v>39</v>
      </c>
      <c r="AP66" s="9">
        <v>31</v>
      </c>
      <c r="AQ66" s="9">
        <v>39</v>
      </c>
      <c r="AR66" s="9">
        <v>15</v>
      </c>
      <c r="AS66" s="9">
        <v>24</v>
      </c>
      <c r="AT66" s="9">
        <v>4</v>
      </c>
      <c r="AU66" s="9">
        <v>5</v>
      </c>
      <c r="AV66" s="9">
        <v>10</v>
      </c>
      <c r="AW66" s="9">
        <v>7</v>
      </c>
      <c r="AX66" s="9">
        <v>4</v>
      </c>
      <c r="AY66" s="9">
        <v>6</v>
      </c>
      <c r="AZ66" s="9">
        <v>3</v>
      </c>
      <c r="BA66" s="9">
        <v>0</v>
      </c>
      <c r="BB66" s="9">
        <v>35</v>
      </c>
      <c r="BC66" s="18"/>
      <c r="BD66" s="9"/>
      <c r="BE66" s="9"/>
      <c r="BF66" s="9"/>
      <c r="BG66" s="10">
        <f t="shared" si="76"/>
        <v>95.121951219512198</v>
      </c>
      <c r="BH66" s="10">
        <f t="shared" si="77"/>
        <v>4.8780487804878048</v>
      </c>
      <c r="BI66" s="10">
        <f t="shared" si="78"/>
        <v>0</v>
      </c>
      <c r="BJ66" s="10">
        <f t="shared" si="79"/>
        <v>0</v>
      </c>
      <c r="BK66" s="10">
        <f t="shared" si="80"/>
        <v>0</v>
      </c>
      <c r="BL66" s="10">
        <f t="shared" si="81"/>
        <v>100</v>
      </c>
      <c r="BM66" s="10">
        <f t="shared" si="82"/>
        <v>2.5641025641025643</v>
      </c>
      <c r="BN66" s="10">
        <f t="shared" si="83"/>
        <v>94.871794871794876</v>
      </c>
      <c r="BO66" s="16">
        <f t="shared" si="84"/>
        <v>100</v>
      </c>
      <c r="BP66" s="10">
        <f t="shared" si="15"/>
        <v>100</v>
      </c>
      <c r="BQ66" s="10">
        <f t="shared" si="85"/>
        <v>0</v>
      </c>
      <c r="BR66" s="17">
        <f t="shared" si="86"/>
        <v>84.615384615384613</v>
      </c>
      <c r="BS66" s="17">
        <f t="shared" si="87"/>
        <v>23.076923076923077</v>
      </c>
      <c r="BT66" s="17">
        <f t="shared" si="88"/>
        <v>0</v>
      </c>
      <c r="BU66" s="17">
        <f t="shared" si="89"/>
        <v>23.076923076923077</v>
      </c>
      <c r="BV66" s="17">
        <f t="shared" si="90"/>
        <v>76.92307692307692</v>
      </c>
      <c r="BW66" s="17">
        <f t="shared" si="90"/>
        <v>84.615384615384613</v>
      </c>
      <c r="BX66" s="17">
        <f t="shared" si="90"/>
        <v>12.820512820512821</v>
      </c>
      <c r="BY66" s="17">
        <f t="shared" si="91"/>
        <v>5.1282051282051286</v>
      </c>
      <c r="BZ66" s="17">
        <f t="shared" si="92"/>
        <v>100</v>
      </c>
      <c r="CA66" s="17">
        <f t="shared" si="93"/>
        <v>94.871794871794876</v>
      </c>
      <c r="CB66" s="17">
        <f t="shared" si="94"/>
        <v>0</v>
      </c>
      <c r="CC66" s="17">
        <f t="shared" si="95"/>
        <v>10.256410256410257</v>
      </c>
      <c r="CD66" s="17">
        <f t="shared" si="96"/>
        <v>89.743589743589737</v>
      </c>
      <c r="CE66" s="17">
        <f t="shared" si="97"/>
        <v>100</v>
      </c>
      <c r="CF66" s="17">
        <f t="shared" si="98"/>
        <v>0</v>
      </c>
      <c r="CG66" s="17">
        <f t="shared" si="30"/>
        <v>100</v>
      </c>
      <c r="CH66" s="17">
        <f t="shared" si="99"/>
        <v>100</v>
      </c>
      <c r="CI66" s="17">
        <f t="shared" si="100"/>
        <v>100</v>
      </c>
      <c r="CJ66" s="17">
        <f t="shared" si="101"/>
        <v>37.32937685459941</v>
      </c>
      <c r="CK66" s="17">
        <f t="shared" si="102"/>
        <v>14.065281899109792</v>
      </c>
      <c r="CL66" s="17">
        <f t="shared" si="103"/>
        <v>28.205128205128204</v>
      </c>
      <c r="CM66" s="17"/>
      <c r="CN66" s="17">
        <f t="shared" si="104"/>
        <v>100</v>
      </c>
      <c r="CO66" s="17">
        <f t="shared" si="105"/>
        <v>79.487179487179489</v>
      </c>
      <c r="CP66" s="17">
        <f t="shared" si="106"/>
        <v>100</v>
      </c>
      <c r="CQ66" s="17">
        <f t="shared" si="107"/>
        <v>38.46153846153846</v>
      </c>
      <c r="CR66" s="17">
        <f t="shared" si="108"/>
        <v>10.256410256410257</v>
      </c>
      <c r="CS66" s="17">
        <f t="shared" si="109"/>
        <v>89.743589743589737</v>
      </c>
    </row>
    <row r="67" spans="1:97">
      <c r="A67" s="8" t="s">
        <v>218</v>
      </c>
      <c r="B67" s="8" t="s">
        <v>221</v>
      </c>
      <c r="C67" s="21" t="s">
        <v>145</v>
      </c>
      <c r="D67" s="9">
        <v>30</v>
      </c>
      <c r="E67" s="9">
        <v>22</v>
      </c>
      <c r="F67" s="9">
        <v>8</v>
      </c>
      <c r="G67" s="9">
        <v>0</v>
      </c>
      <c r="H67" s="9">
        <v>0</v>
      </c>
      <c r="I67" s="9">
        <v>1</v>
      </c>
      <c r="J67" s="9">
        <v>7</v>
      </c>
      <c r="K67" s="9">
        <v>21</v>
      </c>
      <c r="L67" s="9">
        <v>19</v>
      </c>
      <c r="M67" s="9">
        <v>21</v>
      </c>
      <c r="N67" s="9">
        <v>21</v>
      </c>
      <c r="O67" s="9">
        <v>21</v>
      </c>
      <c r="P67" s="9">
        <v>0</v>
      </c>
      <c r="Q67" s="9">
        <v>0</v>
      </c>
      <c r="R67" s="9">
        <v>20</v>
      </c>
      <c r="S67" s="9">
        <v>20</v>
      </c>
      <c r="T67" s="9">
        <v>4</v>
      </c>
      <c r="U67" s="9">
        <v>17</v>
      </c>
      <c r="V67" s="9">
        <v>0</v>
      </c>
      <c r="W67" s="9">
        <v>20</v>
      </c>
      <c r="X67" s="9">
        <v>18</v>
      </c>
      <c r="Y67" s="9">
        <v>2</v>
      </c>
      <c r="Z67" s="9">
        <v>19</v>
      </c>
      <c r="AA67" s="9">
        <v>17</v>
      </c>
      <c r="AB67" s="9">
        <v>2</v>
      </c>
      <c r="AC67" s="9">
        <v>2</v>
      </c>
      <c r="AD67" s="9">
        <v>17</v>
      </c>
      <c r="AE67" s="9">
        <v>19</v>
      </c>
      <c r="AF67" s="9">
        <v>2</v>
      </c>
      <c r="AG67" s="9">
        <v>21</v>
      </c>
      <c r="AH67" s="9">
        <v>21</v>
      </c>
      <c r="AI67" s="9">
        <v>21</v>
      </c>
      <c r="AJ67" s="9">
        <v>1250</v>
      </c>
      <c r="AK67" s="9">
        <v>627</v>
      </c>
      <c r="AL67" s="9">
        <v>33</v>
      </c>
      <c r="AM67" s="9">
        <v>6</v>
      </c>
      <c r="AN67" s="9">
        <v>0</v>
      </c>
      <c r="AO67" s="9">
        <v>6</v>
      </c>
      <c r="AP67" s="9">
        <v>14</v>
      </c>
      <c r="AQ67" s="9">
        <v>6</v>
      </c>
      <c r="AR67" s="9">
        <v>11</v>
      </c>
      <c r="AS67" s="9">
        <v>6</v>
      </c>
      <c r="AT67" s="9">
        <v>2</v>
      </c>
      <c r="AU67" s="9">
        <v>17</v>
      </c>
      <c r="AV67" s="9">
        <v>1</v>
      </c>
      <c r="AW67" s="9">
        <v>1</v>
      </c>
      <c r="AX67" s="9">
        <v>0</v>
      </c>
      <c r="AY67" s="9">
        <v>0</v>
      </c>
      <c r="AZ67" s="9">
        <v>0</v>
      </c>
      <c r="BA67" s="9">
        <v>0</v>
      </c>
      <c r="BB67" s="9">
        <v>19</v>
      </c>
      <c r="BC67" s="18"/>
      <c r="BD67" s="9"/>
      <c r="BE67" s="9"/>
      <c r="BF67" s="9"/>
      <c r="BG67" s="10">
        <f t="shared" ref="BG67" si="110">E67*100/D67</f>
        <v>73.333333333333329</v>
      </c>
      <c r="BH67" s="10">
        <f t="shared" ref="BH67" si="111">F67*100/D67</f>
        <v>26.666666666666668</v>
      </c>
      <c r="BI67" s="10">
        <f t="shared" ref="BI67" si="112">G67*100/F67</f>
        <v>0</v>
      </c>
      <c r="BJ67" s="10">
        <f t="shared" ref="BJ67" si="113">H67*100/F67</f>
        <v>0</v>
      </c>
      <c r="BK67" s="10">
        <f t="shared" ref="BK67" si="114">I67*100/F67</f>
        <v>12.5</v>
      </c>
      <c r="BL67" s="10">
        <f t="shared" ref="BL67" si="115">J67*100/F67</f>
        <v>87.5</v>
      </c>
      <c r="BM67" s="10">
        <f t="shared" ref="BM67" si="116">L67*100/$K67</f>
        <v>90.476190476190482</v>
      </c>
      <c r="BN67" s="10">
        <f t="shared" ref="BN67" si="117">M67*100/$K67</f>
        <v>100</v>
      </c>
      <c r="BO67" s="16">
        <f t="shared" ref="BO67" si="118">N67*100/$K67</f>
        <v>100</v>
      </c>
      <c r="BP67" s="10">
        <f t="shared" si="15"/>
        <v>100</v>
      </c>
      <c r="BQ67" s="10">
        <f t="shared" ref="BQ67" si="119">Q67*100/$K67</f>
        <v>0</v>
      </c>
      <c r="BR67" s="17">
        <f t="shared" ref="BR67" si="120">R67*100/$K67</f>
        <v>95.238095238095241</v>
      </c>
      <c r="BS67" s="17">
        <f t="shared" ref="BS67" si="121">S67*100/$K67</f>
        <v>95.238095238095241</v>
      </c>
      <c r="BT67" s="17">
        <f t="shared" ref="BT67" si="122">T67*100/$K67</f>
        <v>19.047619047619047</v>
      </c>
      <c r="BU67" s="17">
        <f t="shared" ref="BU67" si="123">U67*100/$K67</f>
        <v>80.952380952380949</v>
      </c>
      <c r="BV67" s="17">
        <f t="shared" ref="BV67" si="124">V67*100/$K67</f>
        <v>0</v>
      </c>
      <c r="BW67" s="17">
        <f t="shared" ref="BW67" si="125">W67*100/$K67</f>
        <v>95.238095238095241</v>
      </c>
      <c r="BX67" s="17">
        <f t="shared" ref="BX67" si="126">X67*100/$K67</f>
        <v>85.714285714285708</v>
      </c>
      <c r="BY67" s="17">
        <f t="shared" ref="BY67" si="127">Y67*100/$K67</f>
        <v>9.5238095238095237</v>
      </c>
      <c r="BZ67" s="17">
        <f t="shared" ref="BZ67" si="128">Z67*100/$K67</f>
        <v>90.476190476190482</v>
      </c>
      <c r="CA67" s="17">
        <f t="shared" ref="CA67" si="129">AA67*100/$K67</f>
        <v>80.952380952380949</v>
      </c>
      <c r="CB67" s="17">
        <f t="shared" ref="CB67" si="130">AB67*100/$K67</f>
        <v>9.5238095238095237</v>
      </c>
      <c r="CC67" s="17">
        <f t="shared" ref="CC67" si="131">AC67*100/$K67</f>
        <v>9.5238095238095237</v>
      </c>
      <c r="CD67" s="17">
        <f t="shared" ref="CD67" si="132">AD67*100/$K67</f>
        <v>80.952380952380949</v>
      </c>
      <c r="CE67" s="17">
        <f t="shared" ref="CE67" si="133">AE67*100/$K67</f>
        <v>90.476190476190482</v>
      </c>
      <c r="CF67" s="17">
        <f t="shared" ref="CF67" si="134">AF67*100/$K67</f>
        <v>9.5238095238095237</v>
      </c>
      <c r="CG67" s="17">
        <f t="shared" si="30"/>
        <v>100</v>
      </c>
      <c r="CH67" s="17">
        <f t="shared" ref="CH67" si="135">AH67*100/$K67</f>
        <v>100</v>
      </c>
      <c r="CI67" s="17">
        <f t="shared" ref="CI67" si="136">AI67*100/$K67</f>
        <v>100</v>
      </c>
      <c r="CJ67" s="17">
        <f t="shared" ref="CJ67" si="137">AK67*100/AJ67</f>
        <v>50.16</v>
      </c>
      <c r="CK67" s="17">
        <f t="shared" ref="CK67" si="138">AL67*100/AJ67</f>
        <v>2.64</v>
      </c>
      <c r="CL67" s="17">
        <f t="shared" ref="CL67" si="139">AM67*100/$K67</f>
        <v>28.571428571428573</v>
      </c>
      <c r="CM67" s="17"/>
      <c r="CN67" s="17">
        <f t="shared" ref="CN67" si="140">AO67*100/$K67</f>
        <v>28.571428571428573</v>
      </c>
      <c r="CO67" s="17">
        <f t="shared" ref="CO67" si="141">AP67*100/$K67</f>
        <v>66.666666666666671</v>
      </c>
      <c r="CP67" s="17">
        <f t="shared" ref="CP67" si="142">AQ67*100/$K67</f>
        <v>28.571428571428573</v>
      </c>
      <c r="CQ67" s="17">
        <f t="shared" ref="CQ67" si="143">AR67*100/(AR67+AS67)</f>
        <v>64.705882352941174</v>
      </c>
      <c r="CR67" s="17">
        <f t="shared" ref="CR67" si="144">AT67*100/$K67</f>
        <v>9.5238095238095237</v>
      </c>
      <c r="CS67" s="17">
        <f t="shared" ref="CS67" si="145">BB67*100/$K67</f>
        <v>90.476190476190482</v>
      </c>
    </row>
    <row r="68" spans="1:97">
      <c r="A68" s="8" t="s">
        <v>218</v>
      </c>
      <c r="B68" s="8" t="s">
        <v>222</v>
      </c>
      <c r="C68" s="21" t="s">
        <v>145</v>
      </c>
      <c r="D68" s="9">
        <v>19</v>
      </c>
      <c r="E68" s="9">
        <v>19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19</v>
      </c>
      <c r="L68" s="9">
        <v>0</v>
      </c>
      <c r="M68" s="9">
        <v>19</v>
      </c>
      <c r="N68" s="9">
        <v>19</v>
      </c>
      <c r="O68" s="9">
        <v>19</v>
      </c>
      <c r="P68" s="9">
        <v>0</v>
      </c>
      <c r="Q68" s="9">
        <v>0</v>
      </c>
      <c r="R68" s="9">
        <v>19</v>
      </c>
      <c r="S68" s="9">
        <v>13</v>
      </c>
      <c r="T68" s="9">
        <v>2</v>
      </c>
      <c r="U68" s="9">
        <v>11</v>
      </c>
      <c r="V68" s="9">
        <v>6</v>
      </c>
      <c r="W68" s="9">
        <v>5</v>
      </c>
      <c r="X68" s="9">
        <v>3</v>
      </c>
      <c r="Y68" s="9">
        <v>4</v>
      </c>
      <c r="Z68" s="9">
        <v>18</v>
      </c>
      <c r="AA68" s="9">
        <v>14</v>
      </c>
      <c r="AB68" s="9">
        <v>1</v>
      </c>
      <c r="AC68" s="9">
        <v>6</v>
      </c>
      <c r="AD68" s="9">
        <v>12</v>
      </c>
      <c r="AE68" s="9">
        <v>18</v>
      </c>
      <c r="AF68" s="9">
        <v>1</v>
      </c>
      <c r="AG68" s="9">
        <v>19</v>
      </c>
      <c r="AH68" s="9">
        <v>19</v>
      </c>
      <c r="AI68" s="9">
        <v>19</v>
      </c>
      <c r="AJ68" s="9">
        <v>912</v>
      </c>
      <c r="AK68" s="9">
        <v>225</v>
      </c>
      <c r="AL68" s="9">
        <v>89</v>
      </c>
      <c r="AM68" s="9">
        <v>11</v>
      </c>
      <c r="AN68" s="9">
        <v>0</v>
      </c>
      <c r="AO68" s="9">
        <v>14</v>
      </c>
      <c r="AP68" s="9">
        <v>11</v>
      </c>
      <c r="AQ68" s="9">
        <v>14</v>
      </c>
      <c r="AR68" s="9">
        <v>2</v>
      </c>
      <c r="AS68" s="9">
        <v>16</v>
      </c>
      <c r="AT68" s="9">
        <v>5</v>
      </c>
      <c r="AU68" s="9">
        <v>3</v>
      </c>
      <c r="AV68" s="9">
        <v>0</v>
      </c>
      <c r="AW68" s="9">
        <v>4</v>
      </c>
      <c r="AX68" s="9">
        <v>7</v>
      </c>
      <c r="AY68" s="9">
        <v>0</v>
      </c>
      <c r="AZ68" s="9">
        <v>0</v>
      </c>
      <c r="BA68" s="9">
        <v>0</v>
      </c>
      <c r="BB68" s="9">
        <v>14</v>
      </c>
      <c r="BC68" s="18"/>
      <c r="BD68" s="9"/>
      <c r="BE68" s="9"/>
      <c r="BF68" s="9"/>
      <c r="BG68" s="10">
        <f t="shared" ref="BG68:BG73" si="146">E68*100/D68</f>
        <v>100</v>
      </c>
      <c r="BH68" s="10">
        <f t="shared" ref="BH68:BH73" si="147">F68*100/D68</f>
        <v>0</v>
      </c>
      <c r="BI68" s="10" t="e">
        <f t="shared" ref="BI68:BI73" si="148">G68*100/F68</f>
        <v>#DIV/0!</v>
      </c>
      <c r="BJ68" s="10" t="e">
        <f t="shared" ref="BJ68:BJ73" si="149">H68*100/F68</f>
        <v>#DIV/0!</v>
      </c>
      <c r="BK68" s="10" t="e">
        <f t="shared" ref="BK68:BK73" si="150">I68*100/F68</f>
        <v>#DIV/0!</v>
      </c>
      <c r="BL68" s="10" t="e">
        <f t="shared" ref="BL68:BL73" si="151">J68*100/F68</f>
        <v>#DIV/0!</v>
      </c>
      <c r="BM68" s="10">
        <f t="shared" ref="BM68:BM73" si="152">L68*100/$K68</f>
        <v>0</v>
      </c>
      <c r="BN68" s="10">
        <f t="shared" ref="BN68:BN73" si="153">M68*100/$K68</f>
        <v>100</v>
      </c>
      <c r="BO68" s="16">
        <f t="shared" ref="BO68:BO73" si="154">N68*100/$K68</f>
        <v>100</v>
      </c>
      <c r="BP68" s="10">
        <f t="shared" ref="BP68:BP73" si="155">O68*100/$K68</f>
        <v>100</v>
      </c>
      <c r="BQ68" s="10">
        <f t="shared" ref="BQ68:BQ73" si="156">Q68*100/$K68</f>
        <v>0</v>
      </c>
      <c r="BR68" s="17">
        <f t="shared" ref="BR68:BR73" si="157">R68*100/$K68</f>
        <v>100</v>
      </c>
      <c r="BS68" s="17">
        <f t="shared" ref="BS68:BS73" si="158">S68*100/$K68</f>
        <v>68.421052631578945</v>
      </c>
      <c r="BT68" s="17">
        <f t="shared" ref="BT68:BT73" si="159">T68*100/$K68</f>
        <v>10.526315789473685</v>
      </c>
      <c r="BU68" s="17">
        <f t="shared" ref="BU68:BU73" si="160">U68*100/$K68</f>
        <v>57.89473684210526</v>
      </c>
      <c r="BV68" s="17">
        <f t="shared" ref="BV68:BV73" si="161">V68*100/$K68</f>
        <v>31.578947368421051</v>
      </c>
      <c r="BW68" s="17">
        <f t="shared" ref="BW68:BW73" si="162">W68*100/$K68</f>
        <v>26.315789473684209</v>
      </c>
      <c r="BX68" s="17">
        <f t="shared" ref="BX68:BX73" si="163">X68*100/$K68</f>
        <v>15.789473684210526</v>
      </c>
      <c r="BY68" s="17">
        <f t="shared" ref="BY68:BY73" si="164">Y68*100/$K68</f>
        <v>21.05263157894737</v>
      </c>
      <c r="BZ68" s="17">
        <f t="shared" ref="BZ68:BZ73" si="165">Z68*100/$K68</f>
        <v>94.736842105263165</v>
      </c>
      <c r="CA68" s="17">
        <f t="shared" ref="CA68:CA73" si="166">AA68*100/$K68</f>
        <v>73.684210526315795</v>
      </c>
      <c r="CB68" s="17">
        <f t="shared" ref="CB68:CB73" si="167">AB68*100/$K68</f>
        <v>5.2631578947368425</v>
      </c>
      <c r="CC68" s="17">
        <f t="shared" ref="CC68:CC73" si="168">AC68*100/$K68</f>
        <v>31.578947368421051</v>
      </c>
      <c r="CD68" s="17">
        <f t="shared" ref="CD68:CD73" si="169">AD68*100/$K68</f>
        <v>63.157894736842103</v>
      </c>
      <c r="CE68" s="17">
        <f t="shared" ref="CE68:CE73" si="170">AE68*100/$K68</f>
        <v>94.736842105263165</v>
      </c>
      <c r="CF68" s="17">
        <f t="shared" ref="CF68:CF73" si="171">AF68*100/$K68</f>
        <v>5.2631578947368425</v>
      </c>
      <c r="CG68" s="17">
        <f t="shared" ref="CG68:CG73" si="172">AG68*100/$K68</f>
        <v>100</v>
      </c>
      <c r="CH68" s="17">
        <f t="shared" ref="CH68:CH73" si="173">AH68*100/$K68</f>
        <v>100</v>
      </c>
      <c r="CI68" s="17">
        <f t="shared" ref="CI68:CI73" si="174">AI68*100/$K68</f>
        <v>100</v>
      </c>
      <c r="CJ68" s="17">
        <f t="shared" ref="CJ68:CJ73" si="175">AK68*100/AJ68</f>
        <v>24.671052631578949</v>
      </c>
      <c r="CK68" s="17">
        <f t="shared" ref="CK68:CK73" si="176">AL68*100/AJ68</f>
        <v>9.7587719298245617</v>
      </c>
      <c r="CL68" s="17">
        <f t="shared" ref="CL68:CL73" si="177">AM68*100/$K68</f>
        <v>57.89473684210526</v>
      </c>
      <c r="CM68" s="17"/>
      <c r="CN68" s="17">
        <f t="shared" ref="CN68:CN73" si="178">AO68*100/$K68</f>
        <v>73.684210526315795</v>
      </c>
      <c r="CO68" s="17">
        <f t="shared" ref="CO68:CO73" si="179">AP68*100/$K68</f>
        <v>57.89473684210526</v>
      </c>
      <c r="CP68" s="17">
        <f t="shared" ref="CP68:CP73" si="180">AQ68*100/$K68</f>
        <v>73.684210526315795</v>
      </c>
      <c r="CQ68" s="17">
        <f t="shared" ref="CQ68:CQ73" si="181">AR68*100/(AR68+AS68)</f>
        <v>11.111111111111111</v>
      </c>
      <c r="CR68" s="17">
        <f t="shared" ref="CR68:CR73" si="182">AT68*100/$K68</f>
        <v>26.315789473684209</v>
      </c>
      <c r="CS68" s="17">
        <f t="shared" ref="CS68:CS73" si="183">BB68*100/$K68</f>
        <v>73.684210526315795</v>
      </c>
    </row>
    <row r="69" spans="1:97">
      <c r="A69" s="8" t="s">
        <v>218</v>
      </c>
      <c r="B69" s="8" t="s">
        <v>223</v>
      </c>
      <c r="C69" s="21" t="s">
        <v>145</v>
      </c>
      <c r="D69" s="9">
        <v>32</v>
      </c>
      <c r="E69" s="9">
        <v>32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32</v>
      </c>
      <c r="L69" s="9">
        <v>0</v>
      </c>
      <c r="M69" s="9">
        <v>32</v>
      </c>
      <c r="N69" s="9">
        <v>32</v>
      </c>
      <c r="O69" s="9">
        <v>32</v>
      </c>
      <c r="P69" s="9">
        <v>0</v>
      </c>
      <c r="Q69" s="9">
        <v>0</v>
      </c>
      <c r="R69" s="9">
        <v>32</v>
      </c>
      <c r="S69" s="9">
        <v>31</v>
      </c>
      <c r="T69" s="9">
        <v>3</v>
      </c>
      <c r="U69" s="9">
        <v>29</v>
      </c>
      <c r="V69" s="9">
        <v>0</v>
      </c>
      <c r="W69" s="9">
        <v>27</v>
      </c>
      <c r="X69" s="9">
        <v>27</v>
      </c>
      <c r="Y69" s="9">
        <v>1</v>
      </c>
      <c r="Z69" s="9">
        <v>32</v>
      </c>
      <c r="AA69" s="9">
        <v>31</v>
      </c>
      <c r="AB69" s="9">
        <v>0</v>
      </c>
      <c r="AC69" s="9">
        <v>17</v>
      </c>
      <c r="AD69" s="9">
        <v>15</v>
      </c>
      <c r="AE69" s="9">
        <v>32</v>
      </c>
      <c r="AF69" s="9">
        <v>0</v>
      </c>
      <c r="AG69" s="9">
        <v>32</v>
      </c>
      <c r="AH69" s="9">
        <v>31</v>
      </c>
      <c r="AI69" s="9">
        <v>32</v>
      </c>
      <c r="AJ69" s="9">
        <v>1261</v>
      </c>
      <c r="AK69" s="9">
        <v>1074</v>
      </c>
      <c r="AL69" s="9">
        <v>176</v>
      </c>
      <c r="AM69" s="9">
        <v>27</v>
      </c>
      <c r="AN69" s="9">
        <v>0</v>
      </c>
      <c r="AO69" s="9">
        <v>32</v>
      </c>
      <c r="AP69" s="9">
        <v>32</v>
      </c>
      <c r="AQ69" s="9">
        <v>32</v>
      </c>
      <c r="AR69" s="9">
        <v>20</v>
      </c>
      <c r="AS69" s="9">
        <v>8</v>
      </c>
      <c r="AT69" s="9">
        <v>2</v>
      </c>
      <c r="AU69" s="9">
        <v>14</v>
      </c>
      <c r="AV69" s="9">
        <v>11</v>
      </c>
      <c r="AW69" s="9">
        <v>5</v>
      </c>
      <c r="AX69" s="9">
        <v>0</v>
      </c>
      <c r="AY69" s="9">
        <v>0</v>
      </c>
      <c r="AZ69" s="9">
        <v>0</v>
      </c>
      <c r="BA69" s="9">
        <v>0</v>
      </c>
      <c r="BB69" s="9">
        <v>30</v>
      </c>
      <c r="BC69" s="18"/>
      <c r="BD69" s="9"/>
      <c r="BE69" s="9"/>
      <c r="BF69" s="9"/>
      <c r="BG69" s="10">
        <f t="shared" si="146"/>
        <v>100</v>
      </c>
      <c r="BH69" s="10">
        <f t="shared" si="147"/>
        <v>0</v>
      </c>
      <c r="BI69" s="10" t="e">
        <f t="shared" si="148"/>
        <v>#DIV/0!</v>
      </c>
      <c r="BJ69" s="10" t="e">
        <f t="shared" si="149"/>
        <v>#DIV/0!</v>
      </c>
      <c r="BK69" s="10" t="e">
        <f t="shared" si="150"/>
        <v>#DIV/0!</v>
      </c>
      <c r="BL69" s="10" t="e">
        <f t="shared" si="151"/>
        <v>#DIV/0!</v>
      </c>
      <c r="BM69" s="10">
        <f t="shared" si="152"/>
        <v>0</v>
      </c>
      <c r="BN69" s="10">
        <f t="shared" si="153"/>
        <v>100</v>
      </c>
      <c r="BO69" s="16">
        <f t="shared" si="154"/>
        <v>100</v>
      </c>
      <c r="BP69" s="10">
        <f t="shared" si="155"/>
        <v>100</v>
      </c>
      <c r="BQ69" s="10">
        <f t="shared" si="156"/>
        <v>0</v>
      </c>
      <c r="BR69" s="17">
        <f t="shared" si="157"/>
        <v>100</v>
      </c>
      <c r="BS69" s="17">
        <f t="shared" si="158"/>
        <v>96.875</v>
      </c>
      <c r="BT69" s="17">
        <f t="shared" si="159"/>
        <v>9.375</v>
      </c>
      <c r="BU69" s="17">
        <f t="shared" si="160"/>
        <v>90.625</v>
      </c>
      <c r="BV69" s="17">
        <f t="shared" si="161"/>
        <v>0</v>
      </c>
      <c r="BW69" s="17">
        <f t="shared" si="162"/>
        <v>84.375</v>
      </c>
      <c r="BX69" s="17">
        <f t="shared" si="163"/>
        <v>84.375</v>
      </c>
      <c r="BY69" s="17">
        <f t="shared" si="164"/>
        <v>3.125</v>
      </c>
      <c r="BZ69" s="17">
        <f t="shared" si="165"/>
        <v>100</v>
      </c>
      <c r="CA69" s="17">
        <f t="shared" si="166"/>
        <v>96.875</v>
      </c>
      <c r="CB69" s="17">
        <f t="shared" si="167"/>
        <v>0</v>
      </c>
      <c r="CC69" s="17">
        <f t="shared" si="168"/>
        <v>53.125</v>
      </c>
      <c r="CD69" s="17">
        <f t="shared" si="169"/>
        <v>46.875</v>
      </c>
      <c r="CE69" s="17">
        <f t="shared" si="170"/>
        <v>100</v>
      </c>
      <c r="CF69" s="17">
        <f t="shared" si="171"/>
        <v>0</v>
      </c>
      <c r="CG69" s="17">
        <f t="shared" si="172"/>
        <v>100</v>
      </c>
      <c r="CH69" s="17">
        <f t="shared" si="173"/>
        <v>96.875</v>
      </c>
      <c r="CI69" s="17">
        <f t="shared" si="174"/>
        <v>100</v>
      </c>
      <c r="CJ69" s="17">
        <f t="shared" si="175"/>
        <v>85.17049960348929</v>
      </c>
      <c r="CK69" s="17">
        <f t="shared" si="176"/>
        <v>13.957176843774782</v>
      </c>
      <c r="CL69" s="17">
        <f t="shared" si="177"/>
        <v>84.375</v>
      </c>
      <c r="CM69" s="17"/>
      <c r="CN69" s="17">
        <f t="shared" si="178"/>
        <v>100</v>
      </c>
      <c r="CO69" s="17">
        <f t="shared" si="179"/>
        <v>100</v>
      </c>
      <c r="CP69" s="17">
        <f t="shared" si="180"/>
        <v>100</v>
      </c>
      <c r="CQ69" s="17">
        <f t="shared" si="181"/>
        <v>71.428571428571431</v>
      </c>
      <c r="CR69" s="17">
        <f t="shared" si="182"/>
        <v>6.25</v>
      </c>
      <c r="CS69" s="17">
        <f t="shared" si="183"/>
        <v>93.75</v>
      </c>
    </row>
    <row r="70" spans="1:97">
      <c r="A70" s="8" t="s">
        <v>218</v>
      </c>
      <c r="B70" s="8" t="s">
        <v>224</v>
      </c>
      <c r="C70" s="21" t="s">
        <v>145</v>
      </c>
      <c r="D70" s="9">
        <v>40</v>
      </c>
      <c r="E70" s="9">
        <v>39</v>
      </c>
      <c r="F70" s="9">
        <v>1</v>
      </c>
      <c r="G70" s="9">
        <v>1</v>
      </c>
      <c r="H70" s="9">
        <v>0</v>
      </c>
      <c r="I70" s="9">
        <v>0</v>
      </c>
      <c r="J70" s="9">
        <v>0</v>
      </c>
      <c r="K70" s="9">
        <v>39</v>
      </c>
      <c r="L70" s="9">
        <v>0</v>
      </c>
      <c r="M70" s="9">
        <v>38</v>
      </c>
      <c r="N70" s="9">
        <v>39</v>
      </c>
      <c r="O70" s="9">
        <v>39</v>
      </c>
      <c r="P70" s="9">
        <v>0</v>
      </c>
      <c r="Q70" s="9">
        <v>0</v>
      </c>
      <c r="R70" s="9">
        <v>34</v>
      </c>
      <c r="S70" s="9">
        <v>25</v>
      </c>
      <c r="T70" s="9">
        <v>13</v>
      </c>
      <c r="U70" s="9">
        <v>26</v>
      </c>
      <c r="V70" s="9">
        <v>0</v>
      </c>
      <c r="W70" s="9">
        <v>25</v>
      </c>
      <c r="X70" s="9">
        <v>17</v>
      </c>
      <c r="Y70" s="9">
        <v>0</v>
      </c>
      <c r="Z70" s="9">
        <v>39</v>
      </c>
      <c r="AA70" s="9">
        <v>39</v>
      </c>
      <c r="AB70" s="9">
        <v>0</v>
      </c>
      <c r="AC70" s="9">
        <v>2</v>
      </c>
      <c r="AD70" s="9">
        <v>37</v>
      </c>
      <c r="AE70" s="9">
        <v>39</v>
      </c>
      <c r="AF70" s="9">
        <v>0</v>
      </c>
      <c r="AG70" s="9">
        <v>39</v>
      </c>
      <c r="AH70" s="9">
        <v>39</v>
      </c>
      <c r="AI70" s="9">
        <v>39</v>
      </c>
      <c r="AJ70" s="9">
        <v>1313</v>
      </c>
      <c r="AK70" s="9">
        <v>1010</v>
      </c>
      <c r="AL70" s="9">
        <v>237</v>
      </c>
      <c r="AM70" s="9">
        <v>25</v>
      </c>
      <c r="AN70" s="9">
        <v>0</v>
      </c>
      <c r="AO70" s="9">
        <v>38</v>
      </c>
      <c r="AP70" s="9">
        <v>37</v>
      </c>
      <c r="AQ70" s="9">
        <v>38</v>
      </c>
      <c r="AR70" s="9">
        <v>30</v>
      </c>
      <c r="AS70" s="9">
        <v>5</v>
      </c>
      <c r="AT70" s="9">
        <v>4</v>
      </c>
      <c r="AU70" s="9">
        <v>11</v>
      </c>
      <c r="AV70" s="9">
        <v>14</v>
      </c>
      <c r="AW70" s="9">
        <v>6</v>
      </c>
      <c r="AX70" s="9">
        <v>4</v>
      </c>
      <c r="AY70" s="9">
        <v>0</v>
      </c>
      <c r="AZ70" s="9">
        <v>0</v>
      </c>
      <c r="BA70" s="9">
        <v>0</v>
      </c>
      <c r="BB70" s="9">
        <v>35</v>
      </c>
      <c r="BC70" s="18"/>
      <c r="BD70" s="9"/>
      <c r="BE70" s="9"/>
      <c r="BF70" s="9"/>
      <c r="BG70" s="10">
        <f t="shared" si="146"/>
        <v>97.5</v>
      </c>
      <c r="BH70" s="10">
        <f t="shared" si="147"/>
        <v>2.5</v>
      </c>
      <c r="BI70" s="10">
        <f t="shared" si="148"/>
        <v>100</v>
      </c>
      <c r="BJ70" s="10">
        <f t="shared" si="149"/>
        <v>0</v>
      </c>
      <c r="BK70" s="10">
        <f t="shared" si="150"/>
        <v>0</v>
      </c>
      <c r="BL70" s="10">
        <f t="shared" si="151"/>
        <v>0</v>
      </c>
      <c r="BM70" s="10">
        <f t="shared" si="152"/>
        <v>0</v>
      </c>
      <c r="BN70" s="10">
        <f t="shared" si="153"/>
        <v>97.435897435897431</v>
      </c>
      <c r="BO70" s="10">
        <f t="shared" si="154"/>
        <v>100</v>
      </c>
      <c r="BP70" s="10">
        <f t="shared" si="155"/>
        <v>100</v>
      </c>
      <c r="BQ70" s="10">
        <f t="shared" si="156"/>
        <v>0</v>
      </c>
      <c r="BR70" s="17">
        <f t="shared" si="157"/>
        <v>87.179487179487182</v>
      </c>
      <c r="BS70" s="17">
        <f t="shared" si="158"/>
        <v>64.102564102564102</v>
      </c>
      <c r="BT70" s="17">
        <f t="shared" si="159"/>
        <v>33.333333333333336</v>
      </c>
      <c r="BU70" s="17">
        <f t="shared" si="160"/>
        <v>66.666666666666671</v>
      </c>
      <c r="BV70" s="17">
        <f t="shared" si="161"/>
        <v>0</v>
      </c>
      <c r="BW70" s="17">
        <f t="shared" si="162"/>
        <v>64.102564102564102</v>
      </c>
      <c r="BX70" s="17">
        <f t="shared" si="163"/>
        <v>43.589743589743591</v>
      </c>
      <c r="BY70" s="17">
        <f t="shared" si="164"/>
        <v>0</v>
      </c>
      <c r="BZ70" s="17">
        <f t="shared" si="165"/>
        <v>100</v>
      </c>
      <c r="CA70" s="17">
        <f t="shared" si="166"/>
        <v>100</v>
      </c>
      <c r="CB70" s="17">
        <f t="shared" si="167"/>
        <v>0</v>
      </c>
      <c r="CC70" s="17">
        <f t="shared" si="168"/>
        <v>5.1282051282051286</v>
      </c>
      <c r="CD70" s="17">
        <f t="shared" si="169"/>
        <v>94.871794871794876</v>
      </c>
      <c r="CE70" s="17">
        <f t="shared" si="170"/>
        <v>100</v>
      </c>
      <c r="CF70" s="17">
        <f t="shared" si="171"/>
        <v>0</v>
      </c>
      <c r="CG70" s="17">
        <f t="shared" si="172"/>
        <v>100</v>
      </c>
      <c r="CH70" s="17">
        <f t="shared" si="173"/>
        <v>100</v>
      </c>
      <c r="CI70" s="17">
        <f t="shared" si="174"/>
        <v>100</v>
      </c>
      <c r="CJ70" s="17">
        <f t="shared" si="175"/>
        <v>76.92307692307692</v>
      </c>
      <c r="CK70" s="17">
        <f t="shared" si="176"/>
        <v>18.050266565118051</v>
      </c>
      <c r="CL70" s="17">
        <f t="shared" si="177"/>
        <v>64.102564102564102</v>
      </c>
      <c r="CM70" s="17"/>
      <c r="CN70" s="17">
        <f t="shared" si="178"/>
        <v>97.435897435897431</v>
      </c>
      <c r="CO70" s="17">
        <f t="shared" si="179"/>
        <v>94.871794871794876</v>
      </c>
      <c r="CP70" s="17">
        <f t="shared" si="180"/>
        <v>97.435897435897431</v>
      </c>
      <c r="CQ70" s="17">
        <f t="shared" si="181"/>
        <v>85.714285714285708</v>
      </c>
      <c r="CR70" s="17">
        <f t="shared" si="182"/>
        <v>10.256410256410257</v>
      </c>
      <c r="CS70" s="17">
        <f t="shared" si="183"/>
        <v>89.743589743589737</v>
      </c>
    </row>
    <row r="71" spans="1:97">
      <c r="A71" s="8" t="s">
        <v>218</v>
      </c>
      <c r="B71" s="8" t="s">
        <v>225</v>
      </c>
      <c r="C71" s="21" t="s">
        <v>145</v>
      </c>
      <c r="D71" s="9">
        <v>40</v>
      </c>
      <c r="E71" s="9">
        <v>40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40</v>
      </c>
      <c r="L71" s="9">
        <v>0</v>
      </c>
      <c r="M71" s="9">
        <v>40</v>
      </c>
      <c r="N71" s="9">
        <v>40</v>
      </c>
      <c r="O71" s="9">
        <v>40</v>
      </c>
      <c r="P71" s="9">
        <v>0</v>
      </c>
      <c r="Q71" s="9">
        <v>0</v>
      </c>
      <c r="R71" s="9">
        <v>40</v>
      </c>
      <c r="S71" s="9">
        <v>40</v>
      </c>
      <c r="T71" s="9">
        <v>1</v>
      </c>
      <c r="U71" s="9">
        <v>39</v>
      </c>
      <c r="V71" s="9">
        <v>0</v>
      </c>
      <c r="W71" s="9">
        <v>35</v>
      </c>
      <c r="X71" s="9">
        <v>34</v>
      </c>
      <c r="Y71" s="9">
        <v>0</v>
      </c>
      <c r="Z71" s="9">
        <v>40</v>
      </c>
      <c r="AA71" s="9">
        <v>40</v>
      </c>
      <c r="AB71" s="9">
        <v>0</v>
      </c>
      <c r="AC71" s="9">
        <v>0</v>
      </c>
      <c r="AD71" s="9">
        <v>40</v>
      </c>
      <c r="AE71" s="9">
        <v>40</v>
      </c>
      <c r="AF71" s="9">
        <v>0</v>
      </c>
      <c r="AG71" s="9">
        <v>40</v>
      </c>
      <c r="AH71" s="9">
        <v>40</v>
      </c>
      <c r="AI71" s="9">
        <v>40</v>
      </c>
      <c r="AJ71" s="9">
        <v>1105</v>
      </c>
      <c r="AK71" s="9">
        <v>862</v>
      </c>
      <c r="AL71" s="9">
        <v>48</v>
      </c>
      <c r="AM71" s="9">
        <v>26</v>
      </c>
      <c r="AN71" s="9">
        <v>0</v>
      </c>
      <c r="AO71" s="9">
        <v>40</v>
      </c>
      <c r="AP71" s="9">
        <v>39</v>
      </c>
      <c r="AQ71" s="9">
        <v>40</v>
      </c>
      <c r="AR71" s="9">
        <v>17</v>
      </c>
      <c r="AS71" s="9">
        <v>21</v>
      </c>
      <c r="AT71" s="9">
        <v>5</v>
      </c>
      <c r="AU71" s="9">
        <v>26</v>
      </c>
      <c r="AV71" s="9">
        <v>9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35</v>
      </c>
      <c r="BC71" s="18"/>
      <c r="BD71" s="9"/>
      <c r="BE71" s="9"/>
      <c r="BF71" s="9"/>
      <c r="BG71" s="10">
        <f t="shared" si="146"/>
        <v>100</v>
      </c>
      <c r="BH71" s="10">
        <f t="shared" si="147"/>
        <v>0</v>
      </c>
      <c r="BI71" s="10" t="e">
        <f t="shared" si="148"/>
        <v>#DIV/0!</v>
      </c>
      <c r="BJ71" s="10" t="e">
        <f t="shared" si="149"/>
        <v>#DIV/0!</v>
      </c>
      <c r="BK71" s="10" t="e">
        <f t="shared" si="150"/>
        <v>#DIV/0!</v>
      </c>
      <c r="BL71" s="10" t="e">
        <f t="shared" si="151"/>
        <v>#DIV/0!</v>
      </c>
      <c r="BM71" s="10">
        <f t="shared" si="152"/>
        <v>0</v>
      </c>
      <c r="BN71" s="10">
        <f t="shared" si="153"/>
        <v>100</v>
      </c>
      <c r="BO71" s="10">
        <f t="shared" si="154"/>
        <v>100</v>
      </c>
      <c r="BP71" s="10">
        <f t="shared" si="155"/>
        <v>100</v>
      </c>
      <c r="BQ71" s="10">
        <f t="shared" si="156"/>
        <v>0</v>
      </c>
      <c r="BR71" s="10">
        <f t="shared" si="157"/>
        <v>100</v>
      </c>
      <c r="BS71" s="10">
        <f t="shared" si="158"/>
        <v>100</v>
      </c>
      <c r="BT71" s="10">
        <f t="shared" si="159"/>
        <v>2.5</v>
      </c>
      <c r="BU71" s="10">
        <f t="shared" si="160"/>
        <v>97.5</v>
      </c>
      <c r="BV71" s="10">
        <f t="shared" si="161"/>
        <v>0</v>
      </c>
      <c r="BW71" s="10">
        <f t="shared" si="162"/>
        <v>87.5</v>
      </c>
      <c r="BX71" s="10">
        <f t="shared" si="163"/>
        <v>85</v>
      </c>
      <c r="BY71" s="10">
        <f t="shared" si="164"/>
        <v>0</v>
      </c>
      <c r="BZ71" s="10">
        <f t="shared" si="165"/>
        <v>100</v>
      </c>
      <c r="CA71" s="10">
        <f t="shared" si="166"/>
        <v>100</v>
      </c>
      <c r="CB71" s="10">
        <f t="shared" si="167"/>
        <v>0</v>
      </c>
      <c r="CC71" s="10">
        <f t="shared" si="168"/>
        <v>0</v>
      </c>
      <c r="CD71" s="10">
        <f t="shared" si="169"/>
        <v>100</v>
      </c>
      <c r="CE71" s="10">
        <f t="shared" si="170"/>
        <v>100</v>
      </c>
      <c r="CF71" s="10">
        <f t="shared" si="171"/>
        <v>0</v>
      </c>
      <c r="CG71" s="10">
        <f t="shared" si="172"/>
        <v>100</v>
      </c>
      <c r="CH71" s="10">
        <f t="shared" si="173"/>
        <v>100</v>
      </c>
      <c r="CI71" s="10">
        <f t="shared" si="174"/>
        <v>100</v>
      </c>
      <c r="CJ71" s="10">
        <f t="shared" si="175"/>
        <v>78.009049773755663</v>
      </c>
      <c r="CK71" s="10">
        <f t="shared" si="176"/>
        <v>4.3438914027149318</v>
      </c>
      <c r="CL71" s="10">
        <f t="shared" si="177"/>
        <v>65</v>
      </c>
      <c r="CM71" s="17"/>
      <c r="CN71" s="10">
        <f t="shared" si="178"/>
        <v>100</v>
      </c>
      <c r="CO71" s="10">
        <f t="shared" si="179"/>
        <v>97.5</v>
      </c>
      <c r="CP71" s="10">
        <f t="shared" si="180"/>
        <v>100</v>
      </c>
      <c r="CQ71" s="10">
        <f t="shared" si="181"/>
        <v>44.736842105263158</v>
      </c>
      <c r="CR71" s="10">
        <f t="shared" si="182"/>
        <v>12.5</v>
      </c>
      <c r="CS71" s="10">
        <f t="shared" si="183"/>
        <v>87.5</v>
      </c>
    </row>
    <row r="72" spans="1:97">
      <c r="A72" s="8" t="s">
        <v>218</v>
      </c>
      <c r="B72" s="8" t="s">
        <v>226</v>
      </c>
      <c r="C72" s="21" t="s">
        <v>145</v>
      </c>
      <c r="D72" s="9">
        <v>30</v>
      </c>
      <c r="E72" s="9">
        <v>30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29</v>
      </c>
      <c r="L72" s="9">
        <v>0</v>
      </c>
      <c r="M72" s="9">
        <v>29</v>
      </c>
      <c r="N72" s="9">
        <v>29</v>
      </c>
      <c r="O72" s="9">
        <v>29</v>
      </c>
      <c r="P72" s="9">
        <v>0</v>
      </c>
      <c r="Q72" s="9">
        <v>0</v>
      </c>
      <c r="R72" s="9">
        <v>29</v>
      </c>
      <c r="S72" s="9">
        <v>28</v>
      </c>
      <c r="T72" s="9">
        <v>0</v>
      </c>
      <c r="U72" s="9">
        <v>29</v>
      </c>
      <c r="V72" s="9">
        <v>0</v>
      </c>
      <c r="W72" s="9">
        <v>25</v>
      </c>
      <c r="X72" s="9">
        <v>25</v>
      </c>
      <c r="Y72" s="9">
        <v>0</v>
      </c>
      <c r="Z72" s="9">
        <v>29</v>
      </c>
      <c r="AA72" s="9">
        <v>29</v>
      </c>
      <c r="AB72" s="9">
        <v>0</v>
      </c>
      <c r="AC72" s="9">
        <v>0</v>
      </c>
      <c r="AD72" s="9">
        <v>29</v>
      </c>
      <c r="AE72" s="9">
        <v>29</v>
      </c>
      <c r="AF72" s="9">
        <v>0</v>
      </c>
      <c r="AG72" s="9">
        <v>29</v>
      </c>
      <c r="AH72" s="9">
        <v>29</v>
      </c>
      <c r="AI72" s="9">
        <v>29</v>
      </c>
      <c r="AJ72" s="9">
        <v>7872</v>
      </c>
      <c r="AK72" s="9">
        <v>4048</v>
      </c>
      <c r="AL72" s="9">
        <v>1021</v>
      </c>
      <c r="AM72" s="9">
        <v>20</v>
      </c>
      <c r="AN72" s="9">
        <v>3</v>
      </c>
      <c r="AO72" s="9">
        <v>28</v>
      </c>
      <c r="AP72" s="9">
        <v>24</v>
      </c>
      <c r="AQ72" s="9">
        <v>28</v>
      </c>
      <c r="AR72" s="9">
        <v>22</v>
      </c>
      <c r="AS72" s="9">
        <v>5</v>
      </c>
      <c r="AT72" s="9">
        <v>1</v>
      </c>
      <c r="AU72" s="9">
        <v>4</v>
      </c>
      <c r="AV72" s="9">
        <v>1</v>
      </c>
      <c r="AW72" s="9">
        <v>15</v>
      </c>
      <c r="AX72" s="9">
        <v>8</v>
      </c>
      <c r="AY72" s="9">
        <v>0</v>
      </c>
      <c r="AZ72" s="9">
        <v>0</v>
      </c>
      <c r="BA72" s="9">
        <v>0</v>
      </c>
      <c r="BB72" s="9">
        <v>28</v>
      </c>
      <c r="BC72" s="18"/>
      <c r="BD72" s="9"/>
      <c r="BE72" s="9"/>
      <c r="BF72" s="9"/>
      <c r="BG72" s="10">
        <f t="shared" si="146"/>
        <v>100</v>
      </c>
      <c r="BH72" s="10">
        <f t="shared" si="147"/>
        <v>0</v>
      </c>
      <c r="BI72" s="10" t="e">
        <f t="shared" si="148"/>
        <v>#DIV/0!</v>
      </c>
      <c r="BJ72" s="10" t="e">
        <f t="shared" si="149"/>
        <v>#DIV/0!</v>
      </c>
      <c r="BK72" s="10" t="e">
        <f t="shared" si="150"/>
        <v>#DIV/0!</v>
      </c>
      <c r="BL72" s="10" t="e">
        <f t="shared" si="151"/>
        <v>#DIV/0!</v>
      </c>
      <c r="BM72" s="10">
        <f t="shared" si="152"/>
        <v>0</v>
      </c>
      <c r="BN72" s="10">
        <f t="shared" si="153"/>
        <v>100</v>
      </c>
      <c r="BO72" s="16">
        <f t="shared" si="154"/>
        <v>100</v>
      </c>
      <c r="BP72" s="10">
        <f t="shared" si="155"/>
        <v>100</v>
      </c>
      <c r="BQ72" s="10">
        <f t="shared" si="156"/>
        <v>0</v>
      </c>
      <c r="BR72" s="17">
        <f t="shared" si="157"/>
        <v>100</v>
      </c>
      <c r="BS72" s="17">
        <f t="shared" si="158"/>
        <v>96.551724137931032</v>
      </c>
      <c r="BT72" s="17">
        <f t="shared" si="159"/>
        <v>0</v>
      </c>
      <c r="BU72" s="17">
        <f t="shared" si="160"/>
        <v>100</v>
      </c>
      <c r="BV72" s="17">
        <f t="shared" si="161"/>
        <v>0</v>
      </c>
      <c r="BW72" s="17">
        <f t="shared" si="162"/>
        <v>86.206896551724142</v>
      </c>
      <c r="BX72" s="17">
        <f t="shared" si="163"/>
        <v>86.206896551724142</v>
      </c>
      <c r="BY72" s="17">
        <f t="shared" si="164"/>
        <v>0</v>
      </c>
      <c r="BZ72" s="17">
        <f t="shared" si="165"/>
        <v>100</v>
      </c>
      <c r="CA72" s="17">
        <f t="shared" si="166"/>
        <v>100</v>
      </c>
      <c r="CB72" s="17">
        <f t="shared" si="167"/>
        <v>0</v>
      </c>
      <c r="CC72" s="17">
        <f t="shared" si="168"/>
        <v>0</v>
      </c>
      <c r="CD72" s="17">
        <f t="shared" si="169"/>
        <v>100</v>
      </c>
      <c r="CE72" s="17">
        <f t="shared" si="170"/>
        <v>100</v>
      </c>
      <c r="CF72" s="17">
        <f t="shared" si="171"/>
        <v>0</v>
      </c>
      <c r="CG72" s="17">
        <f t="shared" si="172"/>
        <v>100</v>
      </c>
      <c r="CH72" s="17">
        <f t="shared" si="173"/>
        <v>100</v>
      </c>
      <c r="CI72" s="17">
        <f t="shared" si="174"/>
        <v>100</v>
      </c>
      <c r="CJ72" s="17">
        <f t="shared" si="175"/>
        <v>51.422764227642276</v>
      </c>
      <c r="CK72" s="17">
        <f t="shared" si="176"/>
        <v>12.970020325203253</v>
      </c>
      <c r="CL72" s="17">
        <f t="shared" si="177"/>
        <v>68.965517241379317</v>
      </c>
      <c r="CM72" s="17"/>
      <c r="CN72" s="17">
        <f t="shared" si="178"/>
        <v>96.551724137931032</v>
      </c>
      <c r="CO72" s="17">
        <f t="shared" si="179"/>
        <v>82.758620689655174</v>
      </c>
      <c r="CP72" s="17">
        <f t="shared" si="180"/>
        <v>96.551724137931032</v>
      </c>
      <c r="CQ72" s="17">
        <f t="shared" si="181"/>
        <v>81.481481481481481</v>
      </c>
      <c r="CR72" s="17">
        <f t="shared" si="182"/>
        <v>3.4482758620689653</v>
      </c>
      <c r="CS72" s="17">
        <f t="shared" si="183"/>
        <v>96.551724137931032</v>
      </c>
    </row>
    <row r="73" spans="1:97">
      <c r="A73" s="8" t="s">
        <v>218</v>
      </c>
      <c r="B73" s="8" t="s">
        <v>227</v>
      </c>
      <c r="C73" s="21" t="s">
        <v>145</v>
      </c>
      <c r="D73" s="9">
        <v>29</v>
      </c>
      <c r="E73" s="9">
        <v>29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29</v>
      </c>
      <c r="L73" s="9">
        <v>0</v>
      </c>
      <c r="M73" s="9">
        <v>29</v>
      </c>
      <c r="N73" s="9">
        <v>29</v>
      </c>
      <c r="O73" s="9">
        <v>29</v>
      </c>
      <c r="P73" s="9">
        <v>0</v>
      </c>
      <c r="Q73" s="9">
        <v>0</v>
      </c>
      <c r="R73" s="9">
        <v>29</v>
      </c>
      <c r="S73" s="9">
        <v>17</v>
      </c>
      <c r="T73" s="9">
        <v>0</v>
      </c>
      <c r="U73" s="9">
        <v>29</v>
      </c>
      <c r="V73" s="9">
        <v>0</v>
      </c>
      <c r="W73" s="9">
        <v>24</v>
      </c>
      <c r="X73" s="9">
        <v>24</v>
      </c>
      <c r="Y73" s="9">
        <v>0</v>
      </c>
      <c r="Z73" s="9">
        <v>29</v>
      </c>
      <c r="AA73" s="9">
        <v>29</v>
      </c>
      <c r="AB73" s="9">
        <v>0</v>
      </c>
      <c r="AC73" s="9">
        <v>0</v>
      </c>
      <c r="AD73" s="9">
        <v>29</v>
      </c>
      <c r="AE73" s="9">
        <v>29</v>
      </c>
      <c r="AF73" s="9">
        <v>0</v>
      </c>
      <c r="AG73" s="9">
        <v>29</v>
      </c>
      <c r="AH73" s="9">
        <v>29</v>
      </c>
      <c r="AI73" s="9">
        <v>29</v>
      </c>
      <c r="AJ73" s="9">
        <v>1762</v>
      </c>
      <c r="AK73" s="9">
        <v>670</v>
      </c>
      <c r="AL73" s="9">
        <v>323</v>
      </c>
      <c r="AM73" s="9">
        <v>25</v>
      </c>
      <c r="AN73" s="9">
        <v>0</v>
      </c>
      <c r="AO73" s="9">
        <v>28</v>
      </c>
      <c r="AP73" s="9">
        <v>4</v>
      </c>
      <c r="AQ73" s="9">
        <v>28</v>
      </c>
      <c r="AR73" s="9">
        <v>27</v>
      </c>
      <c r="AS73" s="9">
        <v>0</v>
      </c>
      <c r="AT73" s="9">
        <v>1</v>
      </c>
      <c r="AU73" s="9">
        <v>2</v>
      </c>
      <c r="AV73" s="9">
        <v>3</v>
      </c>
      <c r="AW73" s="9">
        <v>5</v>
      </c>
      <c r="AX73" s="9">
        <v>8</v>
      </c>
      <c r="AY73" s="9">
        <v>3</v>
      </c>
      <c r="AZ73" s="9">
        <v>3</v>
      </c>
      <c r="BA73" s="9">
        <v>4</v>
      </c>
      <c r="BB73" s="9">
        <v>28</v>
      </c>
      <c r="BC73" s="18"/>
      <c r="BD73" s="18"/>
      <c r="BE73" s="18"/>
      <c r="BF73" s="18"/>
      <c r="BG73" s="10">
        <f t="shared" si="146"/>
        <v>100</v>
      </c>
      <c r="BH73" s="10">
        <f t="shared" si="147"/>
        <v>0</v>
      </c>
      <c r="BI73" s="10" t="e">
        <f t="shared" si="148"/>
        <v>#DIV/0!</v>
      </c>
      <c r="BJ73" s="10" t="e">
        <f t="shared" si="149"/>
        <v>#DIV/0!</v>
      </c>
      <c r="BK73" s="10" t="e">
        <f t="shared" si="150"/>
        <v>#DIV/0!</v>
      </c>
      <c r="BL73" s="10" t="e">
        <f t="shared" si="151"/>
        <v>#DIV/0!</v>
      </c>
      <c r="BM73" s="10">
        <f t="shared" si="152"/>
        <v>0</v>
      </c>
      <c r="BN73" s="10">
        <f t="shared" si="153"/>
        <v>100</v>
      </c>
      <c r="BO73" s="10">
        <f t="shared" si="154"/>
        <v>100</v>
      </c>
      <c r="BP73" s="10">
        <f t="shared" si="155"/>
        <v>100</v>
      </c>
      <c r="BQ73" s="10">
        <f t="shared" si="156"/>
        <v>0</v>
      </c>
      <c r="BR73" s="10">
        <f t="shared" si="157"/>
        <v>100</v>
      </c>
      <c r="BS73" s="10">
        <f t="shared" si="158"/>
        <v>58.620689655172413</v>
      </c>
      <c r="BT73" s="17">
        <f t="shared" si="159"/>
        <v>0</v>
      </c>
      <c r="BU73" s="17">
        <f t="shared" si="160"/>
        <v>100</v>
      </c>
      <c r="BV73" s="17">
        <f t="shared" si="161"/>
        <v>0</v>
      </c>
      <c r="BW73" s="17">
        <f t="shared" si="162"/>
        <v>82.758620689655174</v>
      </c>
      <c r="BX73" s="17">
        <f t="shared" si="163"/>
        <v>82.758620689655174</v>
      </c>
      <c r="BY73" s="17">
        <f t="shared" si="164"/>
        <v>0</v>
      </c>
      <c r="BZ73" s="17">
        <f t="shared" si="165"/>
        <v>100</v>
      </c>
      <c r="CA73" s="17">
        <f t="shared" si="166"/>
        <v>100</v>
      </c>
      <c r="CB73" s="17">
        <f t="shared" si="167"/>
        <v>0</v>
      </c>
      <c r="CC73" s="17">
        <f t="shared" si="168"/>
        <v>0</v>
      </c>
      <c r="CD73" s="17">
        <f t="shared" si="169"/>
        <v>100</v>
      </c>
      <c r="CE73" s="17">
        <f t="shared" si="170"/>
        <v>100</v>
      </c>
      <c r="CF73" s="17">
        <f t="shared" si="171"/>
        <v>0</v>
      </c>
      <c r="CG73" s="17">
        <f t="shared" si="172"/>
        <v>100</v>
      </c>
      <c r="CH73" s="17">
        <f t="shared" si="173"/>
        <v>100</v>
      </c>
      <c r="CI73" s="17">
        <f t="shared" si="174"/>
        <v>100</v>
      </c>
      <c r="CJ73" s="17">
        <f t="shared" si="175"/>
        <v>38.024971623155508</v>
      </c>
      <c r="CK73" s="17">
        <f t="shared" si="176"/>
        <v>18.33144154370034</v>
      </c>
      <c r="CL73" s="17">
        <f t="shared" si="177"/>
        <v>86.206896551724142</v>
      </c>
      <c r="CM73" s="17"/>
      <c r="CN73" s="17">
        <f t="shared" si="178"/>
        <v>96.551724137931032</v>
      </c>
      <c r="CO73" s="10">
        <f t="shared" si="179"/>
        <v>13.793103448275861</v>
      </c>
      <c r="CP73" s="10">
        <f t="shared" si="180"/>
        <v>96.551724137931032</v>
      </c>
      <c r="CQ73" s="17">
        <f t="shared" si="181"/>
        <v>100</v>
      </c>
      <c r="CR73" s="17">
        <f t="shared" si="182"/>
        <v>3.4482758620689653</v>
      </c>
      <c r="CS73" s="17">
        <f t="shared" si="183"/>
        <v>96.551724137931032</v>
      </c>
    </row>
    <row r="74" spans="1:97">
      <c r="A74" s="8" t="s">
        <v>218</v>
      </c>
      <c r="B74" s="8" t="s">
        <v>228</v>
      </c>
      <c r="C74" s="21" t="s">
        <v>145</v>
      </c>
      <c r="D74" s="9">
        <v>40</v>
      </c>
      <c r="E74" s="9">
        <v>40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40</v>
      </c>
      <c r="L74" s="9">
        <v>0</v>
      </c>
      <c r="M74" s="9">
        <v>39</v>
      </c>
      <c r="N74" s="9">
        <v>40</v>
      </c>
      <c r="O74" s="9">
        <v>40</v>
      </c>
      <c r="P74" s="9">
        <v>0</v>
      </c>
      <c r="Q74" s="9">
        <v>0</v>
      </c>
      <c r="R74" s="9">
        <v>40</v>
      </c>
      <c r="S74" s="9">
        <v>39</v>
      </c>
      <c r="T74" s="9">
        <v>10</v>
      </c>
      <c r="U74" s="9">
        <v>30</v>
      </c>
      <c r="V74" s="9">
        <v>0</v>
      </c>
      <c r="W74" s="9">
        <v>23</v>
      </c>
      <c r="X74" s="9">
        <v>19</v>
      </c>
      <c r="Y74" s="9">
        <v>0</v>
      </c>
      <c r="Z74" s="9">
        <v>40</v>
      </c>
      <c r="AA74" s="9">
        <v>40</v>
      </c>
      <c r="AB74" s="9">
        <v>0</v>
      </c>
      <c r="AC74" s="9">
        <v>35</v>
      </c>
      <c r="AD74" s="9">
        <v>5</v>
      </c>
      <c r="AE74" s="9">
        <v>40</v>
      </c>
      <c r="AF74" s="9">
        <v>0</v>
      </c>
      <c r="AG74" s="9">
        <v>40</v>
      </c>
      <c r="AH74" s="9">
        <v>40</v>
      </c>
      <c r="AI74" s="9">
        <v>40</v>
      </c>
      <c r="AJ74" s="9">
        <v>4344</v>
      </c>
      <c r="AK74" s="9">
        <v>914</v>
      </c>
      <c r="AL74" s="9">
        <v>235</v>
      </c>
      <c r="AM74" s="9">
        <v>18</v>
      </c>
      <c r="AN74" s="9">
        <v>2</v>
      </c>
      <c r="AO74" s="9">
        <v>40</v>
      </c>
      <c r="AP74" s="9">
        <v>38</v>
      </c>
      <c r="AQ74" s="9">
        <v>40</v>
      </c>
      <c r="AR74" s="9">
        <v>21</v>
      </c>
      <c r="AS74" s="9">
        <v>19</v>
      </c>
      <c r="AT74" s="9">
        <v>1</v>
      </c>
      <c r="AU74" s="9">
        <v>18</v>
      </c>
      <c r="AV74" s="9">
        <v>8</v>
      </c>
      <c r="AW74" s="9">
        <v>8</v>
      </c>
      <c r="AX74" s="9">
        <v>5</v>
      </c>
      <c r="AY74" s="9">
        <v>0</v>
      </c>
      <c r="AZ74" s="9">
        <v>0</v>
      </c>
      <c r="BA74" s="9">
        <v>0</v>
      </c>
      <c r="BB74" s="9">
        <v>39</v>
      </c>
      <c r="BC74" s="20"/>
      <c r="BD74" s="19"/>
      <c r="BE74" s="19"/>
      <c r="BF74" s="19"/>
      <c r="BG74" s="10">
        <f t="shared" ref="BG74:BG84" si="184">E74*100/D74</f>
        <v>100</v>
      </c>
      <c r="BH74" s="10">
        <f t="shared" ref="BH74:BH84" si="185">F74*100/D74</f>
        <v>0</v>
      </c>
      <c r="BI74" s="10" t="e">
        <f t="shared" ref="BI74:BI84" si="186">G74*100/F74</f>
        <v>#DIV/0!</v>
      </c>
      <c r="BJ74" s="10" t="e">
        <f t="shared" ref="BJ74:BJ84" si="187">H74*100/F74</f>
        <v>#DIV/0!</v>
      </c>
      <c r="BK74" s="10" t="e">
        <f t="shared" ref="BK74:BK84" si="188">I74*100/F74</f>
        <v>#DIV/0!</v>
      </c>
      <c r="BL74" s="10" t="e">
        <f t="shared" ref="BL74:BL84" si="189">J74*100/F74</f>
        <v>#DIV/0!</v>
      </c>
      <c r="BM74" s="10">
        <f t="shared" ref="BM74:BM84" si="190">L74*100/$K74</f>
        <v>0</v>
      </c>
      <c r="BN74" s="10">
        <f t="shared" ref="BN74:BN84" si="191">M74*100/$K74</f>
        <v>97.5</v>
      </c>
      <c r="BO74" s="16">
        <f t="shared" ref="BO74:BO84" si="192">N74*100/$K74</f>
        <v>100</v>
      </c>
      <c r="BP74" s="10">
        <f t="shared" ref="BP74:BP84" si="193">O74*100/$K74</f>
        <v>100</v>
      </c>
      <c r="BQ74" s="10">
        <f t="shared" ref="BQ74:BQ84" si="194">Q74*100/$K74</f>
        <v>0</v>
      </c>
      <c r="BR74" s="10">
        <f t="shared" ref="BR74:BR84" si="195">R74*100/$K74</f>
        <v>100</v>
      </c>
      <c r="BS74" s="10">
        <f t="shared" ref="BS74:BS84" si="196">S74*100/$K74</f>
        <v>97.5</v>
      </c>
      <c r="BT74" s="17">
        <f t="shared" ref="BT74:BT84" si="197">T74*100/$K74</f>
        <v>25</v>
      </c>
      <c r="BU74" s="17">
        <f t="shared" ref="BU74:BU84" si="198">U74*100/$K74</f>
        <v>75</v>
      </c>
      <c r="BV74" s="17">
        <f t="shared" ref="BV74:BV84" si="199">V74*100/$K74</f>
        <v>0</v>
      </c>
      <c r="BW74" s="17">
        <f t="shared" ref="BW74:BW84" si="200">W74*100/$K74</f>
        <v>57.5</v>
      </c>
      <c r="BX74" s="17">
        <f t="shared" ref="BX74:BX84" si="201">X74*100/$K74</f>
        <v>47.5</v>
      </c>
      <c r="BY74" s="17">
        <f t="shared" ref="BY74:BY84" si="202">Y74*100/$K74</f>
        <v>0</v>
      </c>
      <c r="BZ74" s="17">
        <f t="shared" ref="BZ74:BZ84" si="203">Z74*100/$K74</f>
        <v>100</v>
      </c>
      <c r="CA74" s="17">
        <f t="shared" ref="CA74:CA84" si="204">AA74*100/$K74</f>
        <v>100</v>
      </c>
      <c r="CB74" s="17">
        <f t="shared" ref="CB74:CB84" si="205">AB74*100/$K74</f>
        <v>0</v>
      </c>
      <c r="CC74" s="17">
        <f t="shared" ref="CC74:CC84" si="206">AC74*100/$K74</f>
        <v>87.5</v>
      </c>
      <c r="CD74" s="17">
        <f t="shared" ref="CD74:CD84" si="207">AD74*100/$K74</f>
        <v>12.5</v>
      </c>
      <c r="CE74" s="17">
        <f t="shared" ref="CE74:CE84" si="208">AE74*100/$K74</f>
        <v>100</v>
      </c>
      <c r="CF74" s="17">
        <f t="shared" ref="CF74:CF84" si="209">AF74*100/$K74</f>
        <v>0</v>
      </c>
      <c r="CG74" s="17">
        <f t="shared" ref="CG74:CG84" si="210">AG74*100/$K74</f>
        <v>100</v>
      </c>
      <c r="CH74" s="17">
        <f t="shared" ref="CH74:CH84" si="211">AH74*100/$K74</f>
        <v>100</v>
      </c>
      <c r="CI74" s="17">
        <f t="shared" ref="CI74:CI84" si="212">AI74*100/$K74</f>
        <v>100</v>
      </c>
      <c r="CJ74" s="17">
        <f t="shared" ref="CJ74:CJ84" si="213">AK74*100/AJ74</f>
        <v>21.040515653775323</v>
      </c>
      <c r="CK74" s="17">
        <f t="shared" ref="CK74:CK84" si="214">AL74*100/AJ74</f>
        <v>5.4097605893186005</v>
      </c>
      <c r="CL74" s="17">
        <f t="shared" ref="CL74:CL84" si="215">AM74*100/$K74</f>
        <v>45</v>
      </c>
      <c r="CM74" s="17"/>
      <c r="CN74" s="17">
        <f t="shared" ref="CN74:CN84" si="216">AO74*100/$K74</f>
        <v>100</v>
      </c>
      <c r="CO74" s="10">
        <f t="shared" ref="CO74:CO84" si="217">AP74*100/$K74</f>
        <v>95</v>
      </c>
      <c r="CP74" s="10">
        <f t="shared" ref="CP74:CP84" si="218">AQ74*100/$K74</f>
        <v>100</v>
      </c>
      <c r="CQ74" s="17">
        <f t="shared" ref="CQ74:CQ84" si="219">AR74*100/(AR74+AS74)</f>
        <v>52.5</v>
      </c>
      <c r="CR74" s="17">
        <f t="shared" ref="CR74:CR84" si="220">AT74*100/$K74</f>
        <v>2.5</v>
      </c>
      <c r="CS74" s="17">
        <f t="shared" ref="CS74:CS84" si="221">BB74*100/$K74</f>
        <v>97.5</v>
      </c>
    </row>
    <row r="75" spans="1:97">
      <c r="A75" s="8" t="s">
        <v>218</v>
      </c>
      <c r="B75" s="8" t="s">
        <v>229</v>
      </c>
      <c r="C75" s="21" t="s">
        <v>145</v>
      </c>
      <c r="D75" s="9">
        <v>17</v>
      </c>
      <c r="E75" s="9">
        <v>16</v>
      </c>
      <c r="F75" s="9">
        <v>1</v>
      </c>
      <c r="G75" s="9">
        <v>1</v>
      </c>
      <c r="H75" s="9">
        <v>0</v>
      </c>
      <c r="I75" s="9">
        <v>0</v>
      </c>
      <c r="J75" s="9">
        <v>0</v>
      </c>
      <c r="K75" s="9">
        <v>14</v>
      </c>
      <c r="L75" s="9">
        <v>3</v>
      </c>
      <c r="M75" s="9">
        <v>14</v>
      </c>
      <c r="N75" s="9">
        <v>14</v>
      </c>
      <c r="O75" s="9">
        <v>13</v>
      </c>
      <c r="P75" s="9">
        <v>0</v>
      </c>
      <c r="Q75" s="9">
        <v>0</v>
      </c>
      <c r="R75" s="9">
        <v>12</v>
      </c>
      <c r="S75" s="9">
        <v>12</v>
      </c>
      <c r="T75" s="9">
        <v>3</v>
      </c>
      <c r="U75" s="9">
        <v>11</v>
      </c>
      <c r="V75" s="9">
        <v>0</v>
      </c>
      <c r="W75" s="9">
        <v>11</v>
      </c>
      <c r="X75" s="9">
        <v>11</v>
      </c>
      <c r="Y75" s="9">
        <v>6</v>
      </c>
      <c r="Z75" s="9">
        <v>14</v>
      </c>
      <c r="AA75" s="9">
        <v>8</v>
      </c>
      <c r="AB75" s="9">
        <v>0</v>
      </c>
      <c r="AC75" s="9">
        <v>4</v>
      </c>
      <c r="AD75" s="9">
        <v>10</v>
      </c>
      <c r="AE75" s="9">
        <v>14</v>
      </c>
      <c r="AF75" s="9">
        <v>0</v>
      </c>
      <c r="AG75" s="9">
        <v>14</v>
      </c>
      <c r="AH75" s="9">
        <v>14</v>
      </c>
      <c r="AI75" s="9">
        <v>14</v>
      </c>
      <c r="AJ75" s="9">
        <v>518</v>
      </c>
      <c r="AK75" s="9">
        <v>454</v>
      </c>
      <c r="AL75" s="9">
        <v>27</v>
      </c>
      <c r="AM75" s="9">
        <v>6</v>
      </c>
      <c r="AN75" s="9">
        <v>0</v>
      </c>
      <c r="AO75" s="9">
        <v>14</v>
      </c>
      <c r="AP75" s="9">
        <v>14</v>
      </c>
      <c r="AQ75" s="9">
        <v>14</v>
      </c>
      <c r="AR75" s="9">
        <v>9</v>
      </c>
      <c r="AS75" s="9">
        <v>5</v>
      </c>
      <c r="AT75" s="9">
        <v>0</v>
      </c>
      <c r="AU75" s="9">
        <v>4</v>
      </c>
      <c r="AV75" s="9">
        <v>4</v>
      </c>
      <c r="AW75" s="9">
        <v>3</v>
      </c>
      <c r="AX75" s="9">
        <v>2</v>
      </c>
      <c r="AY75" s="9">
        <v>1</v>
      </c>
      <c r="AZ75" s="9">
        <v>0</v>
      </c>
      <c r="BA75" s="9">
        <v>0</v>
      </c>
      <c r="BB75" s="9">
        <v>14</v>
      </c>
      <c r="BC75" s="20"/>
      <c r="BD75" s="19"/>
      <c r="BE75" s="19"/>
      <c r="BF75" s="19"/>
      <c r="BG75" s="10">
        <f t="shared" si="184"/>
        <v>94.117647058823536</v>
      </c>
      <c r="BH75" s="10">
        <f t="shared" si="185"/>
        <v>5.882352941176471</v>
      </c>
      <c r="BI75" s="10">
        <f t="shared" si="186"/>
        <v>100</v>
      </c>
      <c r="BJ75" s="10">
        <f t="shared" si="187"/>
        <v>0</v>
      </c>
      <c r="BK75" s="10">
        <f t="shared" si="188"/>
        <v>0</v>
      </c>
      <c r="BL75" s="10">
        <f t="shared" si="189"/>
        <v>0</v>
      </c>
      <c r="BM75" s="10">
        <f t="shared" si="190"/>
        <v>21.428571428571427</v>
      </c>
      <c r="BN75" s="10">
        <f t="shared" si="191"/>
        <v>100</v>
      </c>
      <c r="BO75" s="10">
        <f t="shared" si="192"/>
        <v>100</v>
      </c>
      <c r="BP75" s="10">
        <f t="shared" si="193"/>
        <v>92.857142857142861</v>
      </c>
      <c r="BQ75" s="10">
        <f t="shared" si="194"/>
        <v>0</v>
      </c>
      <c r="BR75" s="10">
        <f t="shared" si="195"/>
        <v>85.714285714285708</v>
      </c>
      <c r="BS75" s="10">
        <f t="shared" si="196"/>
        <v>85.714285714285708</v>
      </c>
      <c r="BT75" s="17">
        <f t="shared" si="197"/>
        <v>21.428571428571427</v>
      </c>
      <c r="BU75" s="17">
        <f t="shared" si="198"/>
        <v>78.571428571428569</v>
      </c>
      <c r="BV75" s="17">
        <f t="shared" si="199"/>
        <v>0</v>
      </c>
      <c r="BW75" s="17">
        <f t="shared" si="200"/>
        <v>78.571428571428569</v>
      </c>
      <c r="BX75" s="17">
        <f t="shared" si="201"/>
        <v>78.571428571428569</v>
      </c>
      <c r="BY75" s="17">
        <f t="shared" si="202"/>
        <v>42.857142857142854</v>
      </c>
      <c r="BZ75" s="17">
        <f t="shared" si="203"/>
        <v>100</v>
      </c>
      <c r="CA75" s="17">
        <f t="shared" si="204"/>
        <v>57.142857142857146</v>
      </c>
      <c r="CB75" s="17">
        <f t="shared" si="205"/>
        <v>0</v>
      </c>
      <c r="CC75" s="17">
        <f t="shared" si="206"/>
        <v>28.571428571428573</v>
      </c>
      <c r="CD75" s="17">
        <f t="shared" si="207"/>
        <v>71.428571428571431</v>
      </c>
      <c r="CE75" s="17">
        <f t="shared" si="208"/>
        <v>100</v>
      </c>
      <c r="CF75" s="17">
        <f t="shared" si="209"/>
        <v>0</v>
      </c>
      <c r="CG75" s="17">
        <f t="shared" si="210"/>
        <v>100</v>
      </c>
      <c r="CH75" s="17">
        <f t="shared" si="211"/>
        <v>100</v>
      </c>
      <c r="CI75" s="17">
        <f t="shared" si="212"/>
        <v>100</v>
      </c>
      <c r="CJ75" s="17">
        <f t="shared" si="213"/>
        <v>87.644787644787641</v>
      </c>
      <c r="CK75" s="17">
        <f t="shared" si="214"/>
        <v>5.2123552123552122</v>
      </c>
      <c r="CL75" s="17">
        <f t="shared" si="215"/>
        <v>42.857142857142854</v>
      </c>
      <c r="CM75" s="17"/>
      <c r="CN75" s="17">
        <f t="shared" si="216"/>
        <v>100</v>
      </c>
      <c r="CO75" s="10">
        <f t="shared" si="217"/>
        <v>100</v>
      </c>
      <c r="CP75" s="10">
        <f t="shared" si="218"/>
        <v>100</v>
      </c>
      <c r="CQ75" s="17">
        <f t="shared" si="219"/>
        <v>64.285714285714292</v>
      </c>
      <c r="CR75" s="17">
        <f t="shared" si="220"/>
        <v>0</v>
      </c>
      <c r="CS75" s="17">
        <f t="shared" si="221"/>
        <v>100</v>
      </c>
    </row>
    <row r="76" spans="1:97">
      <c r="A76" s="8" t="s">
        <v>218</v>
      </c>
      <c r="B76" s="8" t="s">
        <v>230</v>
      </c>
      <c r="C76" s="21" t="s">
        <v>145</v>
      </c>
      <c r="D76" s="9">
        <v>26</v>
      </c>
      <c r="E76" s="9">
        <v>26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25</v>
      </c>
      <c r="L76" s="9">
        <v>4</v>
      </c>
      <c r="M76" s="9">
        <v>24</v>
      </c>
      <c r="N76" s="9">
        <v>25</v>
      </c>
      <c r="O76" s="9">
        <v>25</v>
      </c>
      <c r="P76" s="9">
        <v>0</v>
      </c>
      <c r="Q76" s="9">
        <v>0</v>
      </c>
      <c r="R76" s="9">
        <v>24</v>
      </c>
      <c r="S76" s="9">
        <v>24</v>
      </c>
      <c r="T76" s="9">
        <v>3</v>
      </c>
      <c r="U76" s="9">
        <v>22</v>
      </c>
      <c r="V76" s="9">
        <v>0</v>
      </c>
      <c r="W76" s="9">
        <v>23</v>
      </c>
      <c r="X76" s="9">
        <v>21</v>
      </c>
      <c r="Y76" s="9">
        <v>5</v>
      </c>
      <c r="Z76" s="9">
        <v>25</v>
      </c>
      <c r="AA76" s="9">
        <v>20</v>
      </c>
      <c r="AB76" s="9">
        <v>0</v>
      </c>
      <c r="AC76" s="9">
        <v>2</v>
      </c>
      <c r="AD76" s="9">
        <v>20</v>
      </c>
      <c r="AE76" s="9">
        <v>22</v>
      </c>
      <c r="AF76" s="9">
        <v>3</v>
      </c>
      <c r="AG76" s="9">
        <v>25</v>
      </c>
      <c r="AH76" s="9">
        <v>25</v>
      </c>
      <c r="AI76" s="9">
        <v>25</v>
      </c>
      <c r="AJ76" s="9">
        <v>1182</v>
      </c>
      <c r="AK76" s="9">
        <v>195</v>
      </c>
      <c r="AL76" s="9">
        <v>255</v>
      </c>
      <c r="AM76" s="9">
        <v>14</v>
      </c>
      <c r="AN76" s="9">
        <v>0</v>
      </c>
      <c r="AO76" s="9">
        <v>18</v>
      </c>
      <c r="AP76" s="9">
        <v>8</v>
      </c>
      <c r="AQ76" s="9">
        <v>18</v>
      </c>
      <c r="AR76" s="9">
        <v>2</v>
      </c>
      <c r="AS76" s="9">
        <v>22</v>
      </c>
      <c r="AT76" s="9">
        <v>18</v>
      </c>
      <c r="AU76" s="9">
        <v>7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7</v>
      </c>
      <c r="BC76" s="20"/>
      <c r="BD76" s="19"/>
      <c r="BE76" s="19"/>
      <c r="BF76" s="19"/>
      <c r="BG76" s="10">
        <f t="shared" si="184"/>
        <v>100</v>
      </c>
      <c r="BH76" s="10">
        <f t="shared" si="185"/>
        <v>0</v>
      </c>
      <c r="BI76" s="10" t="e">
        <f t="shared" si="186"/>
        <v>#DIV/0!</v>
      </c>
      <c r="BJ76" s="10" t="e">
        <f t="shared" si="187"/>
        <v>#DIV/0!</v>
      </c>
      <c r="BK76" s="10" t="e">
        <f t="shared" si="188"/>
        <v>#DIV/0!</v>
      </c>
      <c r="BL76" s="10" t="e">
        <f t="shared" si="189"/>
        <v>#DIV/0!</v>
      </c>
      <c r="BM76" s="10">
        <f t="shared" si="190"/>
        <v>16</v>
      </c>
      <c r="BN76" s="10">
        <f t="shared" si="191"/>
        <v>96</v>
      </c>
      <c r="BO76" s="10">
        <f t="shared" si="192"/>
        <v>100</v>
      </c>
      <c r="BP76" s="10">
        <f t="shared" si="193"/>
        <v>100</v>
      </c>
      <c r="BQ76" s="10">
        <f t="shared" si="194"/>
        <v>0</v>
      </c>
      <c r="BR76" s="10">
        <f t="shared" si="195"/>
        <v>96</v>
      </c>
      <c r="BS76" s="10">
        <f t="shared" si="196"/>
        <v>96</v>
      </c>
      <c r="BT76" s="10">
        <f t="shared" si="197"/>
        <v>12</v>
      </c>
      <c r="BU76" s="10">
        <f t="shared" si="198"/>
        <v>88</v>
      </c>
      <c r="BV76" s="10">
        <f t="shared" si="199"/>
        <v>0</v>
      </c>
      <c r="BW76" s="10">
        <f t="shared" si="200"/>
        <v>92</v>
      </c>
      <c r="BX76" s="10">
        <f t="shared" si="201"/>
        <v>84</v>
      </c>
      <c r="BY76" s="10">
        <f t="shared" si="202"/>
        <v>20</v>
      </c>
      <c r="BZ76" s="10">
        <f t="shared" si="203"/>
        <v>100</v>
      </c>
      <c r="CA76" s="10">
        <f t="shared" si="204"/>
        <v>80</v>
      </c>
      <c r="CB76" s="10">
        <f t="shared" si="205"/>
        <v>0</v>
      </c>
      <c r="CC76" s="10">
        <f t="shared" si="206"/>
        <v>8</v>
      </c>
      <c r="CD76" s="10">
        <f t="shared" si="207"/>
        <v>80</v>
      </c>
      <c r="CE76" s="10">
        <f t="shared" si="208"/>
        <v>88</v>
      </c>
      <c r="CF76" s="10">
        <f t="shared" si="209"/>
        <v>12</v>
      </c>
      <c r="CG76" s="10">
        <f t="shared" si="210"/>
        <v>100</v>
      </c>
      <c r="CH76" s="10">
        <f t="shared" si="211"/>
        <v>100</v>
      </c>
      <c r="CI76" s="10">
        <f t="shared" si="212"/>
        <v>100</v>
      </c>
      <c r="CJ76" s="10">
        <f t="shared" si="213"/>
        <v>16.497461928934012</v>
      </c>
      <c r="CK76" s="10">
        <f t="shared" si="214"/>
        <v>21.573604060913706</v>
      </c>
      <c r="CL76" s="10">
        <f t="shared" si="215"/>
        <v>56</v>
      </c>
      <c r="CM76" s="17"/>
      <c r="CN76" s="10">
        <f t="shared" si="216"/>
        <v>72</v>
      </c>
      <c r="CO76" s="10">
        <f t="shared" si="217"/>
        <v>32</v>
      </c>
      <c r="CP76" s="10">
        <f t="shared" si="218"/>
        <v>72</v>
      </c>
      <c r="CQ76" s="10">
        <f t="shared" si="219"/>
        <v>8.3333333333333339</v>
      </c>
      <c r="CR76" s="10">
        <f t="shared" si="220"/>
        <v>72</v>
      </c>
      <c r="CS76" s="10">
        <f t="shared" si="221"/>
        <v>28</v>
      </c>
    </row>
    <row r="77" spans="1:97">
      <c r="A77" s="8" t="s">
        <v>218</v>
      </c>
      <c r="B77" s="8" t="s">
        <v>231</v>
      </c>
      <c r="C77" s="21" t="s">
        <v>145</v>
      </c>
      <c r="D77" s="9">
        <v>20</v>
      </c>
      <c r="E77" s="9">
        <v>17</v>
      </c>
      <c r="F77" s="9">
        <v>3</v>
      </c>
      <c r="G77" s="9">
        <v>3</v>
      </c>
      <c r="H77" s="9">
        <v>0</v>
      </c>
      <c r="I77" s="9">
        <v>0</v>
      </c>
      <c r="J77" s="9">
        <v>0</v>
      </c>
      <c r="K77" s="9">
        <v>16</v>
      </c>
      <c r="L77" s="9">
        <v>0</v>
      </c>
      <c r="M77" s="9">
        <v>16</v>
      </c>
      <c r="N77" s="9">
        <v>16</v>
      </c>
      <c r="O77" s="9">
        <v>16</v>
      </c>
      <c r="P77" s="9">
        <v>0</v>
      </c>
      <c r="Q77" s="9">
        <v>0</v>
      </c>
      <c r="R77" s="9">
        <v>15</v>
      </c>
      <c r="S77" s="9">
        <v>4</v>
      </c>
      <c r="T77" s="9">
        <v>2</v>
      </c>
      <c r="U77" s="9">
        <v>13</v>
      </c>
      <c r="V77" s="9">
        <v>1</v>
      </c>
      <c r="W77" s="9">
        <v>11</v>
      </c>
      <c r="X77" s="9">
        <v>9</v>
      </c>
      <c r="Y77" s="9">
        <v>6</v>
      </c>
      <c r="Z77" s="9">
        <v>16</v>
      </c>
      <c r="AA77" s="9">
        <v>10</v>
      </c>
      <c r="AB77" s="9">
        <v>0</v>
      </c>
      <c r="AC77" s="9">
        <v>7</v>
      </c>
      <c r="AD77" s="9">
        <v>9</v>
      </c>
      <c r="AE77" s="9">
        <v>16</v>
      </c>
      <c r="AF77" s="9">
        <v>0</v>
      </c>
      <c r="AG77" s="9">
        <v>16</v>
      </c>
      <c r="AH77" s="9">
        <v>16</v>
      </c>
      <c r="AI77" s="9">
        <v>16</v>
      </c>
      <c r="AJ77" s="9">
        <v>807</v>
      </c>
      <c r="AK77" s="9">
        <v>426</v>
      </c>
      <c r="AL77" s="9">
        <v>380</v>
      </c>
      <c r="AM77" s="9">
        <v>16</v>
      </c>
      <c r="AN77" s="9">
        <v>0</v>
      </c>
      <c r="AO77" s="9">
        <v>13</v>
      </c>
      <c r="AP77" s="9">
        <v>0</v>
      </c>
      <c r="AQ77" s="9">
        <v>13</v>
      </c>
      <c r="AR77" s="9">
        <v>0</v>
      </c>
      <c r="AS77" s="9">
        <v>14</v>
      </c>
      <c r="AT77" s="9">
        <v>2</v>
      </c>
      <c r="AU77" s="9">
        <v>6</v>
      </c>
      <c r="AV77" s="9">
        <v>5</v>
      </c>
      <c r="AW77" s="9">
        <v>2</v>
      </c>
      <c r="AX77" s="9">
        <v>1</v>
      </c>
      <c r="AY77" s="9">
        <v>0</v>
      </c>
      <c r="AZ77" s="9">
        <v>0</v>
      </c>
      <c r="BA77" s="9">
        <v>0</v>
      </c>
      <c r="BB77" s="9">
        <v>14</v>
      </c>
      <c r="BC77" s="20"/>
      <c r="BD77" s="19"/>
      <c r="BE77" s="19"/>
      <c r="BF77" s="19"/>
      <c r="BG77" s="10">
        <f t="shared" si="184"/>
        <v>85</v>
      </c>
      <c r="BH77" s="10">
        <f t="shared" si="185"/>
        <v>15</v>
      </c>
      <c r="BI77" s="10">
        <f t="shared" si="186"/>
        <v>100</v>
      </c>
      <c r="BJ77" s="10">
        <f t="shared" si="187"/>
        <v>0</v>
      </c>
      <c r="BK77" s="10">
        <f t="shared" si="188"/>
        <v>0</v>
      </c>
      <c r="BL77" s="10">
        <f t="shared" si="189"/>
        <v>0</v>
      </c>
      <c r="BM77" s="10">
        <f t="shared" si="190"/>
        <v>0</v>
      </c>
      <c r="BN77" s="10">
        <f t="shared" si="191"/>
        <v>100</v>
      </c>
      <c r="BO77" s="10">
        <f t="shared" si="192"/>
        <v>100</v>
      </c>
      <c r="BP77" s="10">
        <f t="shared" si="193"/>
        <v>100</v>
      </c>
      <c r="BQ77" s="10">
        <f t="shared" si="194"/>
        <v>0</v>
      </c>
      <c r="BR77" s="10">
        <f t="shared" si="195"/>
        <v>93.75</v>
      </c>
      <c r="BS77" s="10">
        <f t="shared" si="196"/>
        <v>25</v>
      </c>
      <c r="BT77" s="17">
        <f t="shared" si="197"/>
        <v>12.5</v>
      </c>
      <c r="BU77" s="17">
        <f t="shared" si="198"/>
        <v>81.25</v>
      </c>
      <c r="BV77" s="17">
        <f t="shared" si="199"/>
        <v>6.25</v>
      </c>
      <c r="BW77" s="17">
        <f t="shared" si="200"/>
        <v>68.75</v>
      </c>
      <c r="BX77" s="17">
        <f t="shared" si="201"/>
        <v>56.25</v>
      </c>
      <c r="BY77" s="17">
        <f t="shared" si="202"/>
        <v>37.5</v>
      </c>
      <c r="BZ77" s="17">
        <f t="shared" si="203"/>
        <v>100</v>
      </c>
      <c r="CA77" s="17">
        <f t="shared" si="204"/>
        <v>62.5</v>
      </c>
      <c r="CB77" s="17">
        <f t="shared" si="205"/>
        <v>0</v>
      </c>
      <c r="CC77" s="17">
        <f t="shared" si="206"/>
        <v>43.75</v>
      </c>
      <c r="CD77" s="17">
        <f t="shared" si="207"/>
        <v>56.25</v>
      </c>
      <c r="CE77" s="17">
        <f t="shared" si="208"/>
        <v>100</v>
      </c>
      <c r="CF77" s="17">
        <f t="shared" si="209"/>
        <v>0</v>
      </c>
      <c r="CG77" s="17">
        <f t="shared" si="210"/>
        <v>100</v>
      </c>
      <c r="CH77" s="17">
        <f t="shared" si="211"/>
        <v>100</v>
      </c>
      <c r="CI77" s="17">
        <f t="shared" si="212"/>
        <v>100</v>
      </c>
      <c r="CJ77" s="17">
        <f t="shared" si="213"/>
        <v>52.788104089219331</v>
      </c>
      <c r="CK77" s="17">
        <f t="shared" si="214"/>
        <v>47.08798017348203</v>
      </c>
      <c r="CL77" s="17">
        <f t="shared" si="215"/>
        <v>100</v>
      </c>
      <c r="CM77" s="17"/>
      <c r="CN77" s="17">
        <f t="shared" si="216"/>
        <v>81.25</v>
      </c>
      <c r="CO77" s="10">
        <f t="shared" si="217"/>
        <v>0</v>
      </c>
      <c r="CP77" s="10">
        <f t="shared" si="218"/>
        <v>81.25</v>
      </c>
      <c r="CQ77" s="17">
        <f t="shared" si="219"/>
        <v>0</v>
      </c>
      <c r="CR77" s="17">
        <f t="shared" si="220"/>
        <v>12.5</v>
      </c>
      <c r="CS77" s="17">
        <f t="shared" si="221"/>
        <v>87.5</v>
      </c>
    </row>
    <row r="78" spans="1:97">
      <c r="A78" s="22" t="s">
        <v>232</v>
      </c>
      <c r="B78" s="22"/>
      <c r="C78" s="23" t="s">
        <v>145</v>
      </c>
      <c r="D78" s="24">
        <f>SUM(D65:D77)</f>
        <v>388</v>
      </c>
      <c r="E78" s="24">
        <f t="shared" ref="E78:BB78" si="222">SUM(E65:E77)</f>
        <v>373</v>
      </c>
      <c r="F78" s="24">
        <f t="shared" si="222"/>
        <v>15</v>
      </c>
      <c r="G78" s="24">
        <f t="shared" si="222"/>
        <v>5</v>
      </c>
      <c r="H78" s="24">
        <f t="shared" si="222"/>
        <v>0</v>
      </c>
      <c r="I78" s="24">
        <f t="shared" si="222"/>
        <v>1</v>
      </c>
      <c r="J78" s="24">
        <f t="shared" si="222"/>
        <v>9</v>
      </c>
      <c r="K78" s="24">
        <f t="shared" si="222"/>
        <v>367</v>
      </c>
      <c r="L78" s="24">
        <f t="shared" si="222"/>
        <v>27</v>
      </c>
      <c r="M78" s="24">
        <f t="shared" si="222"/>
        <v>361</v>
      </c>
      <c r="N78" s="24">
        <f t="shared" si="222"/>
        <v>367</v>
      </c>
      <c r="O78" s="24">
        <f t="shared" si="222"/>
        <v>366</v>
      </c>
      <c r="P78" s="24">
        <f t="shared" si="222"/>
        <v>0</v>
      </c>
      <c r="Q78" s="24">
        <f t="shared" si="222"/>
        <v>0</v>
      </c>
      <c r="R78" s="24">
        <f t="shared" si="222"/>
        <v>347</v>
      </c>
      <c r="S78" s="24">
        <f t="shared" si="222"/>
        <v>275</v>
      </c>
      <c r="T78" s="24">
        <f t="shared" si="222"/>
        <v>44</v>
      </c>
      <c r="U78" s="24">
        <f t="shared" si="222"/>
        <v>286</v>
      </c>
      <c r="V78" s="24">
        <f t="shared" si="222"/>
        <v>37</v>
      </c>
      <c r="W78" s="24">
        <f t="shared" si="222"/>
        <v>278</v>
      </c>
      <c r="X78" s="24">
        <f t="shared" si="222"/>
        <v>227</v>
      </c>
      <c r="Y78" s="24">
        <f t="shared" si="222"/>
        <v>30</v>
      </c>
      <c r="Z78" s="24">
        <f t="shared" si="222"/>
        <v>364</v>
      </c>
      <c r="AA78" s="24">
        <f t="shared" si="222"/>
        <v>334</v>
      </c>
      <c r="AB78" s="24">
        <f t="shared" si="222"/>
        <v>3</v>
      </c>
      <c r="AC78" s="24">
        <f t="shared" si="222"/>
        <v>90</v>
      </c>
      <c r="AD78" s="24">
        <f t="shared" si="222"/>
        <v>271</v>
      </c>
      <c r="AE78" s="24">
        <f t="shared" si="222"/>
        <v>361</v>
      </c>
      <c r="AF78" s="24">
        <f t="shared" si="222"/>
        <v>6</v>
      </c>
      <c r="AG78" s="24">
        <f t="shared" si="222"/>
        <v>367</v>
      </c>
      <c r="AH78" s="24">
        <f t="shared" si="222"/>
        <v>366</v>
      </c>
      <c r="AI78" s="24">
        <f t="shared" si="222"/>
        <v>367</v>
      </c>
      <c r="AJ78" s="24">
        <f t="shared" si="222"/>
        <v>25696</v>
      </c>
      <c r="AK78" s="24">
        <f t="shared" si="222"/>
        <v>11780</v>
      </c>
      <c r="AL78" s="24">
        <f t="shared" si="222"/>
        <v>3407</v>
      </c>
      <c r="AM78" s="24">
        <f t="shared" si="222"/>
        <v>226</v>
      </c>
      <c r="AN78" s="24">
        <f t="shared" si="222"/>
        <v>8</v>
      </c>
      <c r="AO78" s="24">
        <f t="shared" si="222"/>
        <v>334</v>
      </c>
      <c r="AP78" s="24">
        <f t="shared" si="222"/>
        <v>272</v>
      </c>
      <c r="AQ78" s="24">
        <f t="shared" si="222"/>
        <v>334</v>
      </c>
      <c r="AR78" s="24">
        <f t="shared" si="222"/>
        <v>194</v>
      </c>
      <c r="AS78" s="24">
        <f t="shared" si="222"/>
        <v>149</v>
      </c>
      <c r="AT78" s="24">
        <f t="shared" si="222"/>
        <v>50</v>
      </c>
      <c r="AU78" s="24">
        <f t="shared" si="222"/>
        <v>125</v>
      </c>
      <c r="AV78" s="24">
        <f t="shared" si="222"/>
        <v>70</v>
      </c>
      <c r="AW78" s="24">
        <f t="shared" si="222"/>
        <v>61</v>
      </c>
      <c r="AX78" s="24">
        <f t="shared" si="222"/>
        <v>41</v>
      </c>
      <c r="AY78" s="24">
        <f t="shared" si="222"/>
        <v>10</v>
      </c>
      <c r="AZ78" s="24">
        <f t="shared" si="222"/>
        <v>6</v>
      </c>
      <c r="BA78" s="24">
        <f t="shared" si="222"/>
        <v>4</v>
      </c>
      <c r="BB78" s="24">
        <f t="shared" si="222"/>
        <v>317</v>
      </c>
      <c r="BC78" s="27"/>
      <c r="BD78" s="28"/>
      <c r="BE78" s="28"/>
      <c r="BF78" s="28"/>
      <c r="BG78" s="26">
        <f t="shared" si="184"/>
        <v>96.134020618556704</v>
      </c>
      <c r="BH78" s="26">
        <f t="shared" si="185"/>
        <v>3.865979381443299</v>
      </c>
      <c r="BI78" s="26">
        <f t="shared" si="186"/>
        <v>33.333333333333336</v>
      </c>
      <c r="BJ78" s="26">
        <f t="shared" si="187"/>
        <v>0</v>
      </c>
      <c r="BK78" s="26">
        <f t="shared" si="188"/>
        <v>6.666666666666667</v>
      </c>
      <c r="BL78" s="26">
        <f t="shared" si="189"/>
        <v>60</v>
      </c>
      <c r="BM78" s="26">
        <f t="shared" si="190"/>
        <v>7.3569482288828336</v>
      </c>
      <c r="BN78" s="26">
        <f t="shared" si="191"/>
        <v>98.365122615803813</v>
      </c>
      <c r="BO78" s="26">
        <f t="shared" si="192"/>
        <v>100</v>
      </c>
      <c r="BP78" s="26">
        <f t="shared" si="193"/>
        <v>99.727520435967307</v>
      </c>
      <c r="BQ78" s="26">
        <f t="shared" si="194"/>
        <v>0</v>
      </c>
      <c r="BR78" s="26">
        <f t="shared" si="195"/>
        <v>94.550408719346052</v>
      </c>
      <c r="BS78" s="26">
        <f t="shared" si="196"/>
        <v>74.93188010899182</v>
      </c>
      <c r="BT78" s="26">
        <f t="shared" si="197"/>
        <v>11.989100817438691</v>
      </c>
      <c r="BU78" s="26">
        <f t="shared" si="198"/>
        <v>77.929155313351501</v>
      </c>
      <c r="BV78" s="26">
        <f t="shared" si="199"/>
        <v>10.081743869209809</v>
      </c>
      <c r="BW78" s="26">
        <f t="shared" si="200"/>
        <v>75.749318801089913</v>
      </c>
      <c r="BX78" s="26">
        <f t="shared" si="201"/>
        <v>61.852861035422343</v>
      </c>
      <c r="BY78" s="26">
        <f t="shared" si="202"/>
        <v>8.1743869209809272</v>
      </c>
      <c r="BZ78" s="26">
        <f t="shared" si="203"/>
        <v>99.182561307901906</v>
      </c>
      <c r="CA78" s="26">
        <f t="shared" si="204"/>
        <v>91.008174386920984</v>
      </c>
      <c r="CB78" s="26">
        <f t="shared" si="205"/>
        <v>0.81743869209809261</v>
      </c>
      <c r="CC78" s="26">
        <f t="shared" si="206"/>
        <v>24.52316076294278</v>
      </c>
      <c r="CD78" s="26">
        <f t="shared" si="207"/>
        <v>73.841961852861033</v>
      </c>
      <c r="CE78" s="26">
        <f t="shared" si="208"/>
        <v>98.365122615803813</v>
      </c>
      <c r="CF78" s="26">
        <f t="shared" si="209"/>
        <v>1.6348773841961852</v>
      </c>
      <c r="CG78" s="26">
        <f t="shared" si="210"/>
        <v>100</v>
      </c>
      <c r="CH78" s="26">
        <f t="shared" si="211"/>
        <v>99.727520435967307</v>
      </c>
      <c r="CI78" s="26">
        <f t="shared" si="212"/>
        <v>100</v>
      </c>
      <c r="CJ78" s="26">
        <f t="shared" si="213"/>
        <v>45.843711083437114</v>
      </c>
      <c r="CK78" s="26">
        <f t="shared" si="214"/>
        <v>13.258872976338729</v>
      </c>
      <c r="CL78" s="26">
        <f t="shared" si="215"/>
        <v>61.580381471389643</v>
      </c>
      <c r="CM78" s="29"/>
      <c r="CN78" s="26">
        <f t="shared" si="216"/>
        <v>91.008174386920984</v>
      </c>
      <c r="CO78" s="26">
        <f t="shared" si="217"/>
        <v>74.114441416893726</v>
      </c>
      <c r="CP78" s="26">
        <f t="shared" si="218"/>
        <v>91.008174386920984</v>
      </c>
      <c r="CQ78" s="26">
        <f t="shared" si="219"/>
        <v>56.559766763848394</v>
      </c>
      <c r="CR78" s="26">
        <f t="shared" si="220"/>
        <v>13.623978201634877</v>
      </c>
      <c r="CS78" s="26">
        <f t="shared" si="221"/>
        <v>86.376021798365116</v>
      </c>
    </row>
    <row r="79" spans="1:97">
      <c r="A79" s="8" t="s">
        <v>233</v>
      </c>
      <c r="B79" s="8" t="s">
        <v>234</v>
      </c>
      <c r="C79" s="21" t="s">
        <v>145</v>
      </c>
      <c r="D79" s="9">
        <v>34</v>
      </c>
      <c r="E79" s="9">
        <v>34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34</v>
      </c>
      <c r="L79" s="9">
        <v>34</v>
      </c>
      <c r="M79" s="9">
        <v>34</v>
      </c>
      <c r="N79" s="9">
        <v>34</v>
      </c>
      <c r="O79" s="9">
        <v>34</v>
      </c>
      <c r="P79" s="9">
        <v>0</v>
      </c>
      <c r="Q79" s="9">
        <v>0</v>
      </c>
      <c r="R79" s="9">
        <v>34</v>
      </c>
      <c r="S79" s="9">
        <v>33</v>
      </c>
      <c r="T79" s="9">
        <v>6</v>
      </c>
      <c r="U79" s="9">
        <v>28</v>
      </c>
      <c r="V79" s="9">
        <v>0</v>
      </c>
      <c r="W79" s="9">
        <v>12</v>
      </c>
      <c r="X79" s="9">
        <v>12</v>
      </c>
      <c r="Y79" s="9">
        <v>17</v>
      </c>
      <c r="Z79" s="9">
        <v>34</v>
      </c>
      <c r="AA79" s="9">
        <v>17</v>
      </c>
      <c r="AB79" s="9">
        <v>0</v>
      </c>
      <c r="AC79" s="9">
        <v>16</v>
      </c>
      <c r="AD79" s="9">
        <v>14</v>
      </c>
      <c r="AE79" s="9">
        <v>30</v>
      </c>
      <c r="AF79" s="9">
        <v>4</v>
      </c>
      <c r="AG79" s="9">
        <v>34</v>
      </c>
      <c r="AH79" s="9">
        <v>34</v>
      </c>
      <c r="AI79" s="9">
        <v>34</v>
      </c>
      <c r="AJ79" s="9">
        <v>11364</v>
      </c>
      <c r="AK79" s="9">
        <v>9851</v>
      </c>
      <c r="AL79" s="9">
        <v>521</v>
      </c>
      <c r="AM79" s="9">
        <v>12</v>
      </c>
      <c r="AN79" s="9">
        <v>0</v>
      </c>
      <c r="AO79" s="9">
        <v>23</v>
      </c>
      <c r="AP79" s="9">
        <v>5</v>
      </c>
      <c r="AQ79" s="9">
        <v>23</v>
      </c>
      <c r="AR79" s="9">
        <v>29</v>
      </c>
      <c r="AS79" s="9">
        <v>1</v>
      </c>
      <c r="AT79" s="9">
        <v>4</v>
      </c>
      <c r="AU79" s="9">
        <v>24</v>
      </c>
      <c r="AV79" s="9">
        <v>3</v>
      </c>
      <c r="AW79" s="9">
        <v>3</v>
      </c>
      <c r="AX79" s="9">
        <v>0</v>
      </c>
      <c r="AY79" s="9">
        <v>0</v>
      </c>
      <c r="AZ79" s="9">
        <v>0</v>
      </c>
      <c r="BA79" s="9">
        <v>0</v>
      </c>
      <c r="BB79" s="9">
        <v>30</v>
      </c>
      <c r="BC79" s="20"/>
      <c r="BD79" s="19"/>
      <c r="BE79" s="19"/>
      <c r="BF79" s="19"/>
      <c r="BG79" s="10">
        <f t="shared" si="184"/>
        <v>100</v>
      </c>
      <c r="BH79" s="10">
        <f t="shared" si="185"/>
        <v>0</v>
      </c>
      <c r="BI79" s="10" t="e">
        <f t="shared" si="186"/>
        <v>#DIV/0!</v>
      </c>
      <c r="BJ79" s="10" t="e">
        <f t="shared" si="187"/>
        <v>#DIV/0!</v>
      </c>
      <c r="BK79" s="10" t="e">
        <f t="shared" si="188"/>
        <v>#DIV/0!</v>
      </c>
      <c r="BL79" s="10" t="e">
        <f t="shared" si="189"/>
        <v>#DIV/0!</v>
      </c>
      <c r="BM79" s="10">
        <f t="shared" si="190"/>
        <v>100</v>
      </c>
      <c r="BN79" s="10">
        <f t="shared" si="191"/>
        <v>100</v>
      </c>
      <c r="BO79" s="10">
        <f t="shared" si="192"/>
        <v>100</v>
      </c>
      <c r="BP79" s="10">
        <f t="shared" si="193"/>
        <v>100</v>
      </c>
      <c r="BQ79" s="10">
        <f t="shared" si="194"/>
        <v>0</v>
      </c>
      <c r="BR79" s="10">
        <f t="shared" si="195"/>
        <v>100</v>
      </c>
      <c r="BS79" s="10">
        <f t="shared" si="196"/>
        <v>97.058823529411768</v>
      </c>
      <c r="BT79" s="10">
        <f t="shared" si="197"/>
        <v>17.647058823529413</v>
      </c>
      <c r="BU79" s="10">
        <f t="shared" si="198"/>
        <v>82.352941176470594</v>
      </c>
      <c r="BV79" s="10">
        <f t="shared" si="199"/>
        <v>0</v>
      </c>
      <c r="BW79" s="10">
        <f t="shared" si="200"/>
        <v>35.294117647058826</v>
      </c>
      <c r="BX79" s="10">
        <f t="shared" si="201"/>
        <v>35.294117647058826</v>
      </c>
      <c r="BY79" s="10">
        <f t="shared" si="202"/>
        <v>50</v>
      </c>
      <c r="BZ79" s="10">
        <f t="shared" si="203"/>
        <v>100</v>
      </c>
      <c r="CA79" s="10">
        <f t="shared" si="204"/>
        <v>50</v>
      </c>
      <c r="CB79" s="10">
        <f t="shared" si="205"/>
        <v>0</v>
      </c>
      <c r="CC79" s="10">
        <f t="shared" si="206"/>
        <v>47.058823529411768</v>
      </c>
      <c r="CD79" s="10">
        <f t="shared" si="207"/>
        <v>41.176470588235297</v>
      </c>
      <c r="CE79" s="10">
        <f t="shared" si="208"/>
        <v>88.235294117647058</v>
      </c>
      <c r="CF79" s="10">
        <f t="shared" si="209"/>
        <v>11.764705882352942</v>
      </c>
      <c r="CG79" s="10">
        <f t="shared" si="210"/>
        <v>100</v>
      </c>
      <c r="CH79" s="10">
        <f t="shared" si="211"/>
        <v>100</v>
      </c>
      <c r="CI79" s="10">
        <f t="shared" si="212"/>
        <v>100</v>
      </c>
      <c r="CJ79" s="10">
        <f t="shared" si="213"/>
        <v>86.686026047166493</v>
      </c>
      <c r="CK79" s="10">
        <f t="shared" si="214"/>
        <v>4.5846532910946847</v>
      </c>
      <c r="CL79" s="10">
        <f t="shared" si="215"/>
        <v>35.294117647058826</v>
      </c>
      <c r="CM79" s="10"/>
      <c r="CN79" s="10">
        <f t="shared" si="216"/>
        <v>67.647058823529406</v>
      </c>
      <c r="CO79" s="10">
        <f t="shared" si="217"/>
        <v>14.705882352941176</v>
      </c>
      <c r="CP79" s="10">
        <f t="shared" si="218"/>
        <v>67.647058823529406</v>
      </c>
      <c r="CQ79" s="10">
        <f t="shared" si="219"/>
        <v>96.666666666666671</v>
      </c>
      <c r="CR79" s="10">
        <f t="shared" si="220"/>
        <v>11.764705882352942</v>
      </c>
      <c r="CS79" s="10">
        <f t="shared" si="221"/>
        <v>88.235294117647058</v>
      </c>
    </row>
    <row r="80" spans="1:97">
      <c r="A80" s="8" t="s">
        <v>233</v>
      </c>
      <c r="B80" s="8" t="s">
        <v>235</v>
      </c>
      <c r="C80" s="21" t="s">
        <v>145</v>
      </c>
      <c r="D80" s="9">
        <v>35</v>
      </c>
      <c r="E80" s="9">
        <v>33</v>
      </c>
      <c r="F80" s="9">
        <v>2</v>
      </c>
      <c r="G80" s="9">
        <v>2</v>
      </c>
      <c r="H80" s="9">
        <v>0</v>
      </c>
      <c r="I80" s="9">
        <v>0</v>
      </c>
      <c r="J80" s="9">
        <v>0</v>
      </c>
      <c r="K80" s="9">
        <v>33</v>
      </c>
      <c r="L80" s="9">
        <v>32</v>
      </c>
      <c r="M80" s="9">
        <v>33</v>
      </c>
      <c r="N80" s="9">
        <v>33</v>
      </c>
      <c r="O80" s="9">
        <v>32</v>
      </c>
      <c r="P80" s="9">
        <v>0</v>
      </c>
      <c r="Q80" s="9">
        <v>0</v>
      </c>
      <c r="R80" s="9">
        <v>27</v>
      </c>
      <c r="S80" s="9">
        <v>24</v>
      </c>
      <c r="T80" s="9">
        <v>16</v>
      </c>
      <c r="U80" s="9">
        <v>17</v>
      </c>
      <c r="V80" s="9">
        <v>0</v>
      </c>
      <c r="W80" s="9">
        <v>13</v>
      </c>
      <c r="X80" s="9">
        <v>13</v>
      </c>
      <c r="Y80" s="9">
        <v>15</v>
      </c>
      <c r="Z80" s="9">
        <v>33</v>
      </c>
      <c r="AA80" s="9">
        <v>18</v>
      </c>
      <c r="AB80" s="9">
        <v>0</v>
      </c>
      <c r="AC80" s="9">
        <v>2</v>
      </c>
      <c r="AD80" s="9">
        <v>31</v>
      </c>
      <c r="AE80" s="9">
        <v>33</v>
      </c>
      <c r="AF80" s="9">
        <v>0</v>
      </c>
      <c r="AG80" s="9">
        <v>32</v>
      </c>
      <c r="AH80" s="9">
        <v>33</v>
      </c>
      <c r="AI80" s="9">
        <v>33</v>
      </c>
      <c r="AJ80" s="9">
        <v>1965</v>
      </c>
      <c r="AK80" s="9">
        <v>1064</v>
      </c>
      <c r="AL80" s="9">
        <v>228</v>
      </c>
      <c r="AM80" s="9">
        <v>31</v>
      </c>
      <c r="AN80" s="9">
        <v>0</v>
      </c>
      <c r="AO80" s="9">
        <v>20</v>
      </c>
      <c r="AP80" s="9">
        <v>29</v>
      </c>
      <c r="AQ80" s="9">
        <v>20</v>
      </c>
      <c r="AR80" s="9">
        <v>25</v>
      </c>
      <c r="AS80" s="9">
        <v>8</v>
      </c>
      <c r="AT80" s="9">
        <v>2</v>
      </c>
      <c r="AU80" s="9">
        <v>4</v>
      </c>
      <c r="AV80" s="9">
        <v>6</v>
      </c>
      <c r="AW80" s="9">
        <v>18</v>
      </c>
      <c r="AX80" s="9">
        <v>3</v>
      </c>
      <c r="AY80" s="9">
        <v>0</v>
      </c>
      <c r="AZ80" s="9">
        <v>0</v>
      </c>
      <c r="BA80" s="9">
        <v>0</v>
      </c>
      <c r="BB80" s="9">
        <v>31</v>
      </c>
      <c r="BC80" s="20"/>
      <c r="BD80" s="19"/>
      <c r="BE80" s="19"/>
      <c r="BF80" s="19"/>
      <c r="BG80" s="10">
        <f t="shared" si="184"/>
        <v>94.285714285714292</v>
      </c>
      <c r="BH80" s="10">
        <f t="shared" si="185"/>
        <v>5.7142857142857144</v>
      </c>
      <c r="BI80" s="10">
        <f t="shared" si="186"/>
        <v>100</v>
      </c>
      <c r="BJ80" s="10">
        <f t="shared" si="187"/>
        <v>0</v>
      </c>
      <c r="BK80" s="10">
        <f t="shared" si="188"/>
        <v>0</v>
      </c>
      <c r="BL80" s="10">
        <f t="shared" si="189"/>
        <v>0</v>
      </c>
      <c r="BM80" s="10">
        <f t="shared" si="190"/>
        <v>96.969696969696969</v>
      </c>
      <c r="BN80" s="10">
        <f t="shared" si="191"/>
        <v>100</v>
      </c>
      <c r="BO80" s="10">
        <f t="shared" si="192"/>
        <v>100</v>
      </c>
      <c r="BP80" s="10">
        <f t="shared" si="193"/>
        <v>96.969696969696969</v>
      </c>
      <c r="BQ80" s="10">
        <f t="shared" si="194"/>
        <v>0</v>
      </c>
      <c r="BR80" s="10">
        <f t="shared" si="195"/>
        <v>81.818181818181813</v>
      </c>
      <c r="BS80" s="10">
        <f t="shared" si="196"/>
        <v>72.727272727272734</v>
      </c>
      <c r="BT80" s="10">
        <f t="shared" si="197"/>
        <v>48.484848484848484</v>
      </c>
      <c r="BU80" s="10">
        <f t="shared" si="198"/>
        <v>51.515151515151516</v>
      </c>
      <c r="BV80" s="10">
        <f t="shared" si="199"/>
        <v>0</v>
      </c>
      <c r="BW80" s="10">
        <f t="shared" si="200"/>
        <v>39.393939393939391</v>
      </c>
      <c r="BX80" s="10">
        <f t="shared" si="201"/>
        <v>39.393939393939391</v>
      </c>
      <c r="BY80" s="10">
        <f t="shared" si="202"/>
        <v>45.454545454545453</v>
      </c>
      <c r="BZ80" s="10">
        <f t="shared" si="203"/>
        <v>100</v>
      </c>
      <c r="CA80" s="10">
        <f t="shared" si="204"/>
        <v>54.545454545454547</v>
      </c>
      <c r="CB80" s="10">
        <f t="shared" si="205"/>
        <v>0</v>
      </c>
      <c r="CC80" s="10">
        <f t="shared" si="206"/>
        <v>6.0606060606060606</v>
      </c>
      <c r="CD80" s="10">
        <f t="shared" si="207"/>
        <v>93.939393939393938</v>
      </c>
      <c r="CE80" s="10">
        <f t="shared" si="208"/>
        <v>100</v>
      </c>
      <c r="CF80" s="10">
        <f t="shared" si="209"/>
        <v>0</v>
      </c>
      <c r="CG80" s="10">
        <f t="shared" si="210"/>
        <v>96.969696969696969</v>
      </c>
      <c r="CH80" s="10">
        <f t="shared" si="211"/>
        <v>100</v>
      </c>
      <c r="CI80" s="10">
        <f t="shared" si="212"/>
        <v>100</v>
      </c>
      <c r="CJ80" s="10">
        <f t="shared" si="213"/>
        <v>54.147582697201017</v>
      </c>
      <c r="CK80" s="10">
        <f t="shared" si="214"/>
        <v>11.603053435114504</v>
      </c>
      <c r="CL80" s="10">
        <f t="shared" si="215"/>
        <v>93.939393939393938</v>
      </c>
      <c r="CM80" s="10"/>
      <c r="CN80" s="10">
        <f t="shared" si="216"/>
        <v>60.606060606060609</v>
      </c>
      <c r="CO80" s="10">
        <f t="shared" si="217"/>
        <v>87.878787878787875</v>
      </c>
      <c r="CP80" s="10">
        <f t="shared" si="218"/>
        <v>60.606060606060609</v>
      </c>
      <c r="CQ80" s="10">
        <f t="shared" si="219"/>
        <v>75.757575757575751</v>
      </c>
      <c r="CR80" s="10">
        <f t="shared" si="220"/>
        <v>6.0606060606060606</v>
      </c>
      <c r="CS80" s="10">
        <f t="shared" si="221"/>
        <v>93.939393939393938</v>
      </c>
    </row>
    <row r="81" spans="1:97">
      <c r="A81" s="8" t="s">
        <v>233</v>
      </c>
      <c r="B81" s="8" t="s">
        <v>236</v>
      </c>
      <c r="C81" s="21" t="s">
        <v>145</v>
      </c>
      <c r="D81" s="9">
        <v>41</v>
      </c>
      <c r="E81" s="9">
        <v>41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41</v>
      </c>
      <c r="L81" s="9">
        <v>41</v>
      </c>
      <c r="M81" s="9">
        <v>41</v>
      </c>
      <c r="N81" s="9">
        <v>41</v>
      </c>
      <c r="O81" s="9">
        <v>28</v>
      </c>
      <c r="P81" s="9">
        <v>0</v>
      </c>
      <c r="Q81" s="9">
        <v>0</v>
      </c>
      <c r="R81" s="9">
        <v>41</v>
      </c>
      <c r="S81" s="9">
        <v>41</v>
      </c>
      <c r="T81" s="9">
        <v>7</v>
      </c>
      <c r="U81" s="9">
        <v>34</v>
      </c>
      <c r="V81" s="9">
        <v>0</v>
      </c>
      <c r="W81" s="9">
        <v>8</v>
      </c>
      <c r="X81" s="9">
        <v>8</v>
      </c>
      <c r="Y81" s="9">
        <v>8</v>
      </c>
      <c r="Z81" s="9">
        <v>41</v>
      </c>
      <c r="AA81" s="9">
        <v>33</v>
      </c>
      <c r="AB81" s="9">
        <v>0</v>
      </c>
      <c r="AC81" s="9">
        <v>9</v>
      </c>
      <c r="AD81" s="9">
        <v>32</v>
      </c>
      <c r="AE81" s="9">
        <v>41</v>
      </c>
      <c r="AF81" s="9">
        <v>0</v>
      </c>
      <c r="AG81" s="9">
        <v>41</v>
      </c>
      <c r="AH81" s="9">
        <v>41</v>
      </c>
      <c r="AI81" s="9">
        <v>40</v>
      </c>
      <c r="AJ81" s="9">
        <v>1741</v>
      </c>
      <c r="AK81" s="9">
        <v>862</v>
      </c>
      <c r="AL81" s="9">
        <v>226</v>
      </c>
      <c r="AM81" s="9">
        <v>40</v>
      </c>
      <c r="AN81" s="9">
        <v>0</v>
      </c>
      <c r="AO81" s="9">
        <v>41</v>
      </c>
      <c r="AP81" s="9">
        <v>39</v>
      </c>
      <c r="AQ81" s="9">
        <v>41</v>
      </c>
      <c r="AR81" s="9">
        <v>37</v>
      </c>
      <c r="AS81" s="9">
        <v>0</v>
      </c>
      <c r="AT81" s="9">
        <v>0</v>
      </c>
      <c r="AU81" s="9">
        <v>11</v>
      </c>
      <c r="AV81" s="9">
        <v>14</v>
      </c>
      <c r="AW81" s="9">
        <v>5</v>
      </c>
      <c r="AX81" s="9">
        <v>10</v>
      </c>
      <c r="AY81" s="9">
        <v>1</v>
      </c>
      <c r="AZ81" s="9">
        <v>0</v>
      </c>
      <c r="BA81" s="9">
        <v>0</v>
      </c>
      <c r="BB81" s="9">
        <v>41</v>
      </c>
      <c r="BC81" s="20"/>
      <c r="BD81" s="19"/>
      <c r="BE81" s="19"/>
      <c r="BF81" s="19"/>
      <c r="BG81" s="10">
        <f t="shared" si="184"/>
        <v>100</v>
      </c>
      <c r="BH81" s="10">
        <f t="shared" si="185"/>
        <v>0</v>
      </c>
      <c r="BI81" s="10" t="e">
        <f t="shared" si="186"/>
        <v>#DIV/0!</v>
      </c>
      <c r="BJ81" s="10" t="e">
        <f t="shared" si="187"/>
        <v>#DIV/0!</v>
      </c>
      <c r="BK81" s="10" t="e">
        <f t="shared" si="188"/>
        <v>#DIV/0!</v>
      </c>
      <c r="BL81" s="10" t="e">
        <f t="shared" si="189"/>
        <v>#DIV/0!</v>
      </c>
      <c r="BM81" s="10">
        <f t="shared" si="190"/>
        <v>100</v>
      </c>
      <c r="BN81" s="10">
        <f t="shared" si="191"/>
        <v>100</v>
      </c>
      <c r="BO81" s="10">
        <f t="shared" si="192"/>
        <v>100</v>
      </c>
      <c r="BP81" s="10">
        <f t="shared" si="193"/>
        <v>68.292682926829272</v>
      </c>
      <c r="BQ81" s="10">
        <f t="shared" si="194"/>
        <v>0</v>
      </c>
      <c r="BR81" s="10">
        <f t="shared" si="195"/>
        <v>100</v>
      </c>
      <c r="BS81" s="10">
        <f t="shared" si="196"/>
        <v>100</v>
      </c>
      <c r="BT81" s="10">
        <f t="shared" si="197"/>
        <v>17.073170731707318</v>
      </c>
      <c r="BU81" s="10">
        <f t="shared" si="198"/>
        <v>82.926829268292678</v>
      </c>
      <c r="BV81" s="10">
        <f t="shared" si="199"/>
        <v>0</v>
      </c>
      <c r="BW81" s="10">
        <f t="shared" si="200"/>
        <v>19.512195121951219</v>
      </c>
      <c r="BX81" s="10">
        <f t="shared" si="201"/>
        <v>19.512195121951219</v>
      </c>
      <c r="BY81" s="10">
        <f t="shared" si="202"/>
        <v>19.512195121951219</v>
      </c>
      <c r="BZ81" s="10">
        <f t="shared" si="203"/>
        <v>100</v>
      </c>
      <c r="CA81" s="10">
        <f t="shared" si="204"/>
        <v>80.487804878048777</v>
      </c>
      <c r="CB81" s="10">
        <f t="shared" si="205"/>
        <v>0</v>
      </c>
      <c r="CC81" s="10">
        <f t="shared" si="206"/>
        <v>21.951219512195124</v>
      </c>
      <c r="CD81" s="10">
        <f t="shared" si="207"/>
        <v>78.048780487804876</v>
      </c>
      <c r="CE81" s="10">
        <f t="shared" si="208"/>
        <v>100</v>
      </c>
      <c r="CF81" s="10">
        <f t="shared" si="209"/>
        <v>0</v>
      </c>
      <c r="CG81" s="10">
        <f t="shared" si="210"/>
        <v>100</v>
      </c>
      <c r="CH81" s="10">
        <f t="shared" si="211"/>
        <v>100</v>
      </c>
      <c r="CI81" s="10">
        <f t="shared" si="212"/>
        <v>97.560975609756099</v>
      </c>
      <c r="CJ81" s="10">
        <f t="shared" si="213"/>
        <v>49.511774842044801</v>
      </c>
      <c r="CK81" s="10">
        <f t="shared" si="214"/>
        <v>12.981045376220562</v>
      </c>
      <c r="CL81" s="10">
        <f t="shared" si="215"/>
        <v>97.560975609756099</v>
      </c>
      <c r="CM81" s="10"/>
      <c r="CN81" s="10">
        <f t="shared" si="216"/>
        <v>100</v>
      </c>
      <c r="CO81" s="10">
        <f t="shared" si="217"/>
        <v>95.121951219512198</v>
      </c>
      <c r="CP81" s="10">
        <f t="shared" si="218"/>
        <v>100</v>
      </c>
      <c r="CQ81" s="10">
        <f t="shared" si="219"/>
        <v>100</v>
      </c>
      <c r="CR81" s="10">
        <f t="shared" si="220"/>
        <v>0</v>
      </c>
      <c r="CS81" s="10">
        <f t="shared" si="221"/>
        <v>100</v>
      </c>
    </row>
    <row r="82" spans="1:97">
      <c r="A82" s="8" t="s">
        <v>233</v>
      </c>
      <c r="B82" s="8" t="s">
        <v>237</v>
      </c>
      <c r="C82" s="21" t="s">
        <v>145</v>
      </c>
      <c r="D82" s="9">
        <v>34</v>
      </c>
      <c r="E82" s="9">
        <v>32</v>
      </c>
      <c r="F82" s="9">
        <v>2</v>
      </c>
      <c r="G82" s="9">
        <v>2</v>
      </c>
      <c r="H82" s="9">
        <v>0</v>
      </c>
      <c r="I82" s="9">
        <v>0</v>
      </c>
      <c r="J82" s="9">
        <v>0</v>
      </c>
      <c r="K82" s="9">
        <v>32</v>
      </c>
      <c r="L82" s="9">
        <v>30</v>
      </c>
      <c r="M82" s="9">
        <v>31</v>
      </c>
      <c r="N82" s="9">
        <v>32</v>
      </c>
      <c r="O82" s="9">
        <v>31</v>
      </c>
      <c r="P82" s="9">
        <v>0</v>
      </c>
      <c r="Q82" s="9">
        <v>0</v>
      </c>
      <c r="R82" s="9">
        <v>31</v>
      </c>
      <c r="S82" s="9">
        <v>31</v>
      </c>
      <c r="T82" s="9">
        <v>4</v>
      </c>
      <c r="U82" s="9">
        <v>28</v>
      </c>
      <c r="V82" s="9">
        <v>0</v>
      </c>
      <c r="W82" s="9">
        <v>29</v>
      </c>
      <c r="X82" s="9">
        <v>28</v>
      </c>
      <c r="Y82" s="9">
        <v>5</v>
      </c>
      <c r="Z82" s="9">
        <v>32</v>
      </c>
      <c r="AA82" s="9">
        <v>27</v>
      </c>
      <c r="AB82" s="9">
        <v>0</v>
      </c>
      <c r="AC82" s="9">
        <v>19</v>
      </c>
      <c r="AD82" s="9">
        <v>13</v>
      </c>
      <c r="AE82" s="9">
        <v>32</v>
      </c>
      <c r="AF82" s="9">
        <v>0</v>
      </c>
      <c r="AG82" s="9">
        <v>32</v>
      </c>
      <c r="AH82" s="9">
        <v>32</v>
      </c>
      <c r="AI82" s="9">
        <v>32</v>
      </c>
      <c r="AJ82" s="9">
        <v>1820</v>
      </c>
      <c r="AK82" s="9">
        <v>1339</v>
      </c>
      <c r="AL82" s="9">
        <v>350</v>
      </c>
      <c r="AM82" s="9">
        <v>29</v>
      </c>
      <c r="AN82" s="9">
        <v>0</v>
      </c>
      <c r="AO82" s="9">
        <v>31</v>
      </c>
      <c r="AP82" s="9">
        <v>32</v>
      </c>
      <c r="AQ82" s="9">
        <v>31</v>
      </c>
      <c r="AR82" s="9">
        <v>28</v>
      </c>
      <c r="AS82" s="9">
        <v>4</v>
      </c>
      <c r="AT82" s="9">
        <v>13</v>
      </c>
      <c r="AU82" s="9">
        <v>13</v>
      </c>
      <c r="AV82" s="9">
        <v>6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19</v>
      </c>
      <c r="BC82" s="20"/>
      <c r="BD82" s="19"/>
      <c r="BE82" s="19"/>
      <c r="BF82" s="19"/>
      <c r="BG82" s="10">
        <f t="shared" si="184"/>
        <v>94.117647058823536</v>
      </c>
      <c r="BH82" s="10">
        <f t="shared" si="185"/>
        <v>5.882352941176471</v>
      </c>
      <c r="BI82" s="10">
        <f t="shared" si="186"/>
        <v>100</v>
      </c>
      <c r="BJ82" s="10">
        <f t="shared" si="187"/>
        <v>0</v>
      </c>
      <c r="BK82" s="10">
        <f t="shared" si="188"/>
        <v>0</v>
      </c>
      <c r="BL82" s="10">
        <f t="shared" si="189"/>
        <v>0</v>
      </c>
      <c r="BM82" s="10">
        <f t="shared" si="190"/>
        <v>93.75</v>
      </c>
      <c r="BN82" s="10">
        <f t="shared" si="191"/>
        <v>96.875</v>
      </c>
      <c r="BO82" s="10">
        <f t="shared" si="192"/>
        <v>100</v>
      </c>
      <c r="BP82" s="10">
        <f t="shared" si="193"/>
        <v>96.875</v>
      </c>
      <c r="BQ82" s="10">
        <f t="shared" si="194"/>
        <v>0</v>
      </c>
      <c r="BR82" s="10">
        <f t="shared" si="195"/>
        <v>96.875</v>
      </c>
      <c r="BS82" s="10">
        <f t="shared" si="196"/>
        <v>96.875</v>
      </c>
      <c r="BT82" s="10">
        <f t="shared" si="197"/>
        <v>12.5</v>
      </c>
      <c r="BU82" s="10">
        <f t="shared" si="198"/>
        <v>87.5</v>
      </c>
      <c r="BV82" s="10">
        <f t="shared" si="199"/>
        <v>0</v>
      </c>
      <c r="BW82" s="10">
        <f t="shared" si="200"/>
        <v>90.625</v>
      </c>
      <c r="BX82" s="10">
        <f t="shared" si="201"/>
        <v>87.5</v>
      </c>
      <c r="BY82" s="10">
        <f t="shared" si="202"/>
        <v>15.625</v>
      </c>
      <c r="BZ82" s="10">
        <f t="shared" si="203"/>
        <v>100</v>
      </c>
      <c r="CA82" s="10">
        <f t="shared" si="204"/>
        <v>84.375</v>
      </c>
      <c r="CB82" s="10">
        <f t="shared" si="205"/>
        <v>0</v>
      </c>
      <c r="CC82" s="10">
        <f t="shared" si="206"/>
        <v>59.375</v>
      </c>
      <c r="CD82" s="10">
        <f t="shared" si="207"/>
        <v>40.625</v>
      </c>
      <c r="CE82" s="10">
        <f t="shared" si="208"/>
        <v>100</v>
      </c>
      <c r="CF82" s="10">
        <f t="shared" si="209"/>
        <v>0</v>
      </c>
      <c r="CG82" s="10">
        <f t="shared" si="210"/>
        <v>100</v>
      </c>
      <c r="CH82" s="10">
        <f t="shared" si="211"/>
        <v>100</v>
      </c>
      <c r="CI82" s="10">
        <f t="shared" si="212"/>
        <v>100</v>
      </c>
      <c r="CJ82" s="10">
        <f t="shared" si="213"/>
        <v>73.571428571428569</v>
      </c>
      <c r="CK82" s="10">
        <f t="shared" si="214"/>
        <v>19.23076923076923</v>
      </c>
      <c r="CL82" s="10">
        <f t="shared" si="215"/>
        <v>90.625</v>
      </c>
      <c r="CM82" s="10"/>
      <c r="CN82" s="10">
        <f t="shared" si="216"/>
        <v>96.875</v>
      </c>
      <c r="CO82" s="10">
        <f t="shared" si="217"/>
        <v>100</v>
      </c>
      <c r="CP82" s="10">
        <f t="shared" si="218"/>
        <v>96.875</v>
      </c>
      <c r="CQ82" s="10">
        <f t="shared" si="219"/>
        <v>87.5</v>
      </c>
      <c r="CR82" s="10">
        <f t="shared" si="220"/>
        <v>40.625</v>
      </c>
      <c r="CS82" s="10">
        <f t="shared" si="221"/>
        <v>59.375</v>
      </c>
    </row>
    <row r="83" spans="1:97">
      <c r="A83" s="22" t="s">
        <v>238</v>
      </c>
      <c r="B83" s="22"/>
      <c r="C83" s="23" t="s">
        <v>145</v>
      </c>
      <c r="D83" s="24">
        <v>144</v>
      </c>
      <c r="E83" s="24">
        <v>140</v>
      </c>
      <c r="F83" s="24">
        <v>4</v>
      </c>
      <c r="G83" s="24">
        <v>4</v>
      </c>
      <c r="H83" s="24">
        <v>0</v>
      </c>
      <c r="I83" s="24">
        <v>0</v>
      </c>
      <c r="J83" s="24">
        <v>0</v>
      </c>
      <c r="K83" s="24">
        <v>140</v>
      </c>
      <c r="L83" s="24">
        <v>137</v>
      </c>
      <c r="M83" s="24">
        <v>139</v>
      </c>
      <c r="N83" s="24">
        <v>140</v>
      </c>
      <c r="O83" s="24">
        <v>125</v>
      </c>
      <c r="P83" s="24">
        <v>0</v>
      </c>
      <c r="Q83" s="24">
        <v>0</v>
      </c>
      <c r="R83" s="24">
        <v>133</v>
      </c>
      <c r="S83" s="24">
        <v>129</v>
      </c>
      <c r="T83" s="24">
        <v>33</v>
      </c>
      <c r="U83" s="24">
        <v>107</v>
      </c>
      <c r="V83" s="24">
        <v>0</v>
      </c>
      <c r="W83" s="24">
        <v>62</v>
      </c>
      <c r="X83" s="24">
        <v>61</v>
      </c>
      <c r="Y83" s="24">
        <v>45</v>
      </c>
      <c r="Z83" s="24">
        <v>140</v>
      </c>
      <c r="AA83" s="24">
        <v>95</v>
      </c>
      <c r="AB83" s="24">
        <v>0</v>
      </c>
      <c r="AC83" s="24">
        <v>46</v>
      </c>
      <c r="AD83" s="24">
        <v>90</v>
      </c>
      <c r="AE83" s="24">
        <v>136</v>
      </c>
      <c r="AF83" s="24">
        <v>4</v>
      </c>
      <c r="AG83" s="24">
        <v>139</v>
      </c>
      <c r="AH83" s="24">
        <v>140</v>
      </c>
      <c r="AI83" s="24">
        <v>139</v>
      </c>
      <c r="AJ83" s="24">
        <v>16890</v>
      </c>
      <c r="AK83" s="24">
        <v>13116</v>
      </c>
      <c r="AL83" s="24">
        <v>1325</v>
      </c>
      <c r="AM83" s="24">
        <v>112</v>
      </c>
      <c r="AN83" s="24">
        <v>0</v>
      </c>
      <c r="AO83" s="24">
        <v>115</v>
      </c>
      <c r="AP83" s="24">
        <v>105</v>
      </c>
      <c r="AQ83" s="24">
        <v>115</v>
      </c>
      <c r="AR83" s="24">
        <v>119</v>
      </c>
      <c r="AS83" s="24">
        <v>13</v>
      </c>
      <c r="AT83" s="24">
        <v>19</v>
      </c>
      <c r="AU83" s="24">
        <v>52</v>
      </c>
      <c r="AV83" s="24">
        <v>29</v>
      </c>
      <c r="AW83" s="24">
        <v>26</v>
      </c>
      <c r="AX83" s="24">
        <v>13</v>
      </c>
      <c r="AY83" s="24">
        <v>1</v>
      </c>
      <c r="AZ83" s="24">
        <v>0</v>
      </c>
      <c r="BA83" s="24">
        <v>0</v>
      </c>
      <c r="BB83" s="24">
        <v>121</v>
      </c>
      <c r="BC83" s="27"/>
      <c r="BD83" s="28"/>
      <c r="BE83" s="28"/>
      <c r="BF83" s="28"/>
      <c r="BG83" s="26">
        <f t="shared" si="184"/>
        <v>97.222222222222229</v>
      </c>
      <c r="BH83" s="26">
        <f t="shared" si="185"/>
        <v>2.7777777777777777</v>
      </c>
      <c r="BI83" s="26">
        <f t="shared" si="186"/>
        <v>100</v>
      </c>
      <c r="BJ83" s="26">
        <f t="shared" si="187"/>
        <v>0</v>
      </c>
      <c r="BK83" s="26">
        <f t="shared" si="188"/>
        <v>0</v>
      </c>
      <c r="BL83" s="26">
        <f t="shared" si="189"/>
        <v>0</v>
      </c>
      <c r="BM83" s="26">
        <f t="shared" si="190"/>
        <v>97.857142857142861</v>
      </c>
      <c r="BN83" s="26">
        <f t="shared" si="191"/>
        <v>99.285714285714292</v>
      </c>
      <c r="BO83" s="26">
        <f t="shared" si="192"/>
        <v>100</v>
      </c>
      <c r="BP83" s="26">
        <f t="shared" si="193"/>
        <v>89.285714285714292</v>
      </c>
      <c r="BQ83" s="26">
        <f t="shared" si="194"/>
        <v>0</v>
      </c>
      <c r="BR83" s="26">
        <f t="shared" si="195"/>
        <v>95</v>
      </c>
      <c r="BS83" s="26">
        <f t="shared" si="196"/>
        <v>92.142857142857139</v>
      </c>
      <c r="BT83" s="26">
        <f t="shared" si="197"/>
        <v>23.571428571428573</v>
      </c>
      <c r="BU83" s="26">
        <f t="shared" si="198"/>
        <v>76.428571428571431</v>
      </c>
      <c r="BV83" s="26">
        <f t="shared" si="199"/>
        <v>0</v>
      </c>
      <c r="BW83" s="26">
        <f t="shared" si="200"/>
        <v>44.285714285714285</v>
      </c>
      <c r="BX83" s="26">
        <f t="shared" si="201"/>
        <v>43.571428571428569</v>
      </c>
      <c r="BY83" s="26">
        <f t="shared" si="202"/>
        <v>32.142857142857146</v>
      </c>
      <c r="BZ83" s="26">
        <f t="shared" si="203"/>
        <v>100</v>
      </c>
      <c r="CA83" s="26">
        <f t="shared" si="204"/>
        <v>67.857142857142861</v>
      </c>
      <c r="CB83" s="26">
        <f t="shared" si="205"/>
        <v>0</v>
      </c>
      <c r="CC83" s="26">
        <f t="shared" si="206"/>
        <v>32.857142857142854</v>
      </c>
      <c r="CD83" s="26">
        <f t="shared" si="207"/>
        <v>64.285714285714292</v>
      </c>
      <c r="CE83" s="26">
        <f t="shared" si="208"/>
        <v>97.142857142857139</v>
      </c>
      <c r="CF83" s="26">
        <f t="shared" si="209"/>
        <v>2.8571428571428572</v>
      </c>
      <c r="CG83" s="26">
        <f t="shared" si="210"/>
        <v>99.285714285714292</v>
      </c>
      <c r="CH83" s="26">
        <f t="shared" si="211"/>
        <v>100</v>
      </c>
      <c r="CI83" s="26">
        <f t="shared" si="212"/>
        <v>99.285714285714292</v>
      </c>
      <c r="CJ83" s="26">
        <f t="shared" si="213"/>
        <v>77.65541740674955</v>
      </c>
      <c r="CK83" s="26">
        <f t="shared" si="214"/>
        <v>7.8448786264061576</v>
      </c>
      <c r="CL83" s="26">
        <f t="shared" si="215"/>
        <v>80</v>
      </c>
      <c r="CM83" s="26"/>
      <c r="CN83" s="26">
        <f t="shared" si="216"/>
        <v>82.142857142857139</v>
      </c>
      <c r="CO83" s="26">
        <f t="shared" si="217"/>
        <v>75</v>
      </c>
      <c r="CP83" s="26">
        <f t="shared" si="218"/>
        <v>82.142857142857139</v>
      </c>
      <c r="CQ83" s="26">
        <f t="shared" si="219"/>
        <v>90.151515151515156</v>
      </c>
      <c r="CR83" s="26">
        <f t="shared" si="220"/>
        <v>13.571428571428571</v>
      </c>
      <c r="CS83" s="26">
        <f t="shared" si="221"/>
        <v>86.428571428571431</v>
      </c>
    </row>
    <row r="84" spans="1:97">
      <c r="A84" s="8" t="s">
        <v>239</v>
      </c>
      <c r="B84" s="8" t="s">
        <v>240</v>
      </c>
      <c r="C84" s="21" t="s">
        <v>145</v>
      </c>
      <c r="D84" s="9">
        <v>31</v>
      </c>
      <c r="E84" s="9">
        <v>31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30</v>
      </c>
      <c r="L84" s="9">
        <v>30</v>
      </c>
      <c r="M84" s="9">
        <v>30</v>
      </c>
      <c r="N84" s="9">
        <v>30</v>
      </c>
      <c r="O84" s="9">
        <v>30</v>
      </c>
      <c r="P84" s="9">
        <v>0</v>
      </c>
      <c r="Q84" s="9">
        <v>0</v>
      </c>
      <c r="R84" s="9">
        <v>19</v>
      </c>
      <c r="S84" s="9">
        <v>18</v>
      </c>
      <c r="T84" s="9">
        <v>9</v>
      </c>
      <c r="U84" s="9">
        <v>21</v>
      </c>
      <c r="V84" s="9">
        <v>0</v>
      </c>
      <c r="W84" s="9">
        <v>5</v>
      </c>
      <c r="X84" s="9">
        <v>5</v>
      </c>
      <c r="Y84" s="9">
        <v>15</v>
      </c>
      <c r="Z84" s="9">
        <v>30</v>
      </c>
      <c r="AA84" s="9">
        <v>15</v>
      </c>
      <c r="AB84" s="9">
        <v>0</v>
      </c>
      <c r="AC84" s="9">
        <v>7</v>
      </c>
      <c r="AD84" s="9">
        <v>23</v>
      </c>
      <c r="AE84" s="9">
        <v>30</v>
      </c>
      <c r="AF84" s="9">
        <v>0</v>
      </c>
      <c r="AG84" s="9">
        <v>30</v>
      </c>
      <c r="AH84" s="9">
        <v>30</v>
      </c>
      <c r="AI84" s="9">
        <v>30</v>
      </c>
      <c r="AJ84" s="9">
        <v>1581</v>
      </c>
      <c r="AK84" s="9">
        <v>835</v>
      </c>
      <c r="AL84" s="9">
        <v>260</v>
      </c>
      <c r="AM84" s="9">
        <v>23</v>
      </c>
      <c r="AN84" s="9">
        <v>2</v>
      </c>
      <c r="AO84" s="9">
        <v>30</v>
      </c>
      <c r="AP84" s="9">
        <v>30</v>
      </c>
      <c r="AQ84" s="9">
        <v>30</v>
      </c>
      <c r="AR84" s="9">
        <v>30</v>
      </c>
      <c r="AS84" s="9">
        <v>0</v>
      </c>
      <c r="AT84" s="9">
        <v>1</v>
      </c>
      <c r="AU84" s="9">
        <v>14</v>
      </c>
      <c r="AV84" s="9">
        <v>10</v>
      </c>
      <c r="AW84" s="9">
        <v>5</v>
      </c>
      <c r="AX84" s="9">
        <v>0</v>
      </c>
      <c r="AY84" s="9">
        <v>0</v>
      </c>
      <c r="AZ84" s="9">
        <v>0</v>
      </c>
      <c r="BA84" s="9">
        <v>0</v>
      </c>
      <c r="BB84" s="9">
        <v>29</v>
      </c>
      <c r="BC84" s="20"/>
      <c r="BD84" s="19"/>
      <c r="BE84" s="19"/>
      <c r="BF84" s="19"/>
      <c r="BG84" s="10">
        <f t="shared" si="184"/>
        <v>100</v>
      </c>
      <c r="BH84" s="10">
        <f t="shared" si="185"/>
        <v>0</v>
      </c>
      <c r="BI84" s="10" t="e">
        <f t="shared" si="186"/>
        <v>#DIV/0!</v>
      </c>
      <c r="BJ84" s="10" t="e">
        <f t="shared" si="187"/>
        <v>#DIV/0!</v>
      </c>
      <c r="BK84" s="10" t="e">
        <f t="shared" si="188"/>
        <v>#DIV/0!</v>
      </c>
      <c r="BL84" s="10" t="e">
        <f t="shared" si="189"/>
        <v>#DIV/0!</v>
      </c>
      <c r="BM84" s="10">
        <f t="shared" si="190"/>
        <v>100</v>
      </c>
      <c r="BN84" s="10">
        <f t="shared" si="191"/>
        <v>100</v>
      </c>
      <c r="BO84" s="10">
        <f t="shared" si="192"/>
        <v>100</v>
      </c>
      <c r="BP84" s="10">
        <f t="shared" si="193"/>
        <v>100</v>
      </c>
      <c r="BQ84" s="10">
        <f t="shared" si="194"/>
        <v>0</v>
      </c>
      <c r="BR84" s="10">
        <f t="shared" si="195"/>
        <v>63.333333333333336</v>
      </c>
      <c r="BS84" s="10">
        <f t="shared" si="196"/>
        <v>60</v>
      </c>
      <c r="BT84" s="10">
        <f t="shared" si="197"/>
        <v>30</v>
      </c>
      <c r="BU84" s="10">
        <f t="shared" si="198"/>
        <v>70</v>
      </c>
      <c r="BV84" s="10">
        <f t="shared" si="199"/>
        <v>0</v>
      </c>
      <c r="BW84" s="10">
        <f t="shared" si="200"/>
        <v>16.666666666666668</v>
      </c>
      <c r="BX84" s="10">
        <f t="shared" si="201"/>
        <v>16.666666666666668</v>
      </c>
      <c r="BY84" s="10">
        <f t="shared" si="202"/>
        <v>50</v>
      </c>
      <c r="BZ84" s="10">
        <f t="shared" si="203"/>
        <v>100</v>
      </c>
      <c r="CA84" s="10">
        <f t="shared" si="204"/>
        <v>50</v>
      </c>
      <c r="CB84" s="10">
        <f t="shared" si="205"/>
        <v>0</v>
      </c>
      <c r="CC84" s="10">
        <f t="shared" si="206"/>
        <v>23.333333333333332</v>
      </c>
      <c r="CD84" s="10">
        <f t="shared" si="207"/>
        <v>76.666666666666671</v>
      </c>
      <c r="CE84" s="10">
        <f t="shared" si="208"/>
        <v>100</v>
      </c>
      <c r="CF84" s="10">
        <f t="shared" si="209"/>
        <v>0</v>
      </c>
      <c r="CG84" s="10">
        <f t="shared" si="210"/>
        <v>100</v>
      </c>
      <c r="CH84" s="10">
        <f t="shared" si="211"/>
        <v>100</v>
      </c>
      <c r="CI84" s="10">
        <f t="shared" si="212"/>
        <v>100</v>
      </c>
      <c r="CJ84" s="10">
        <f t="shared" si="213"/>
        <v>52.814674256799492</v>
      </c>
      <c r="CK84" s="10">
        <f t="shared" si="214"/>
        <v>16.445287792536369</v>
      </c>
      <c r="CL84" s="10">
        <f t="shared" si="215"/>
        <v>76.666666666666671</v>
      </c>
      <c r="CM84" s="10"/>
      <c r="CN84" s="10">
        <f t="shared" si="216"/>
        <v>100</v>
      </c>
      <c r="CO84" s="10">
        <f t="shared" si="217"/>
        <v>100</v>
      </c>
      <c r="CP84" s="10">
        <f t="shared" si="218"/>
        <v>100</v>
      </c>
      <c r="CQ84" s="10">
        <f t="shared" si="219"/>
        <v>100</v>
      </c>
      <c r="CR84" s="10">
        <f t="shared" si="220"/>
        <v>3.3333333333333335</v>
      </c>
      <c r="CS84" s="10">
        <f t="shared" si="221"/>
        <v>96.666666666666671</v>
      </c>
    </row>
    <row r="85" spans="1:97">
      <c r="A85" s="22" t="s">
        <v>241</v>
      </c>
      <c r="B85" s="22"/>
      <c r="C85" s="23" t="s">
        <v>145</v>
      </c>
      <c r="D85" s="24">
        <v>31</v>
      </c>
      <c r="E85" s="24">
        <v>31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30</v>
      </c>
      <c r="L85" s="24">
        <v>30</v>
      </c>
      <c r="M85" s="24">
        <v>30</v>
      </c>
      <c r="N85" s="24">
        <v>30</v>
      </c>
      <c r="O85" s="24">
        <v>30</v>
      </c>
      <c r="P85" s="24">
        <v>0</v>
      </c>
      <c r="Q85" s="24">
        <v>0</v>
      </c>
      <c r="R85" s="24">
        <v>19</v>
      </c>
      <c r="S85" s="24">
        <v>18</v>
      </c>
      <c r="T85" s="24">
        <v>9</v>
      </c>
      <c r="U85" s="24">
        <v>21</v>
      </c>
      <c r="V85" s="24">
        <v>0</v>
      </c>
      <c r="W85" s="24">
        <v>5</v>
      </c>
      <c r="X85" s="24">
        <v>5</v>
      </c>
      <c r="Y85" s="24">
        <v>15</v>
      </c>
      <c r="Z85" s="24">
        <v>30</v>
      </c>
      <c r="AA85" s="24">
        <v>15</v>
      </c>
      <c r="AB85" s="24">
        <v>0</v>
      </c>
      <c r="AC85" s="24">
        <v>7</v>
      </c>
      <c r="AD85" s="24">
        <v>23</v>
      </c>
      <c r="AE85" s="24">
        <v>30</v>
      </c>
      <c r="AF85" s="24">
        <v>0</v>
      </c>
      <c r="AG85" s="24">
        <v>30</v>
      </c>
      <c r="AH85" s="24">
        <v>30</v>
      </c>
      <c r="AI85" s="24">
        <v>30</v>
      </c>
      <c r="AJ85" s="24">
        <v>1581</v>
      </c>
      <c r="AK85" s="24">
        <v>835</v>
      </c>
      <c r="AL85" s="24">
        <v>260</v>
      </c>
      <c r="AM85" s="24">
        <v>23</v>
      </c>
      <c r="AN85" s="24">
        <v>2</v>
      </c>
      <c r="AO85" s="24">
        <v>30</v>
      </c>
      <c r="AP85" s="24">
        <v>30</v>
      </c>
      <c r="AQ85" s="24">
        <v>30</v>
      </c>
      <c r="AR85" s="24">
        <v>30</v>
      </c>
      <c r="AS85" s="24">
        <v>0</v>
      </c>
      <c r="AT85" s="24">
        <v>1</v>
      </c>
      <c r="AU85" s="24">
        <v>14</v>
      </c>
      <c r="AV85" s="24">
        <v>10</v>
      </c>
      <c r="AW85" s="24">
        <v>5</v>
      </c>
      <c r="AX85" s="24">
        <v>0</v>
      </c>
      <c r="AY85" s="24">
        <v>0</v>
      </c>
      <c r="AZ85" s="24">
        <v>0</v>
      </c>
      <c r="BA85" s="24">
        <v>0</v>
      </c>
      <c r="BB85" s="24">
        <v>29</v>
      </c>
      <c r="BC85" s="27"/>
      <c r="BD85" s="28"/>
      <c r="BE85" s="28"/>
      <c r="BF85" s="28"/>
      <c r="BG85" s="26">
        <f t="shared" ref="BG85" si="223">E85*100/D85</f>
        <v>100</v>
      </c>
      <c r="BH85" s="26">
        <f t="shared" ref="BH85" si="224">F85*100/D85</f>
        <v>0</v>
      </c>
      <c r="BI85" s="26" t="e">
        <f t="shared" ref="BI85" si="225">G85*100/F85</f>
        <v>#DIV/0!</v>
      </c>
      <c r="BJ85" s="26" t="e">
        <f t="shared" ref="BJ85" si="226">H85*100/F85</f>
        <v>#DIV/0!</v>
      </c>
      <c r="BK85" s="26" t="e">
        <f t="shared" ref="BK85" si="227">I85*100/F85</f>
        <v>#DIV/0!</v>
      </c>
      <c r="BL85" s="26" t="e">
        <f t="shared" ref="BL85" si="228">J85*100/F85</f>
        <v>#DIV/0!</v>
      </c>
      <c r="BM85" s="26">
        <f t="shared" ref="BM85" si="229">L85*100/$K85</f>
        <v>100</v>
      </c>
      <c r="BN85" s="26">
        <f t="shared" ref="BN85" si="230">M85*100/$K85</f>
        <v>100</v>
      </c>
      <c r="BO85" s="26">
        <f t="shared" ref="BO85" si="231">N85*100/$K85</f>
        <v>100</v>
      </c>
      <c r="BP85" s="26">
        <f t="shared" ref="BP85" si="232">O85*100/$K85</f>
        <v>100</v>
      </c>
      <c r="BQ85" s="26">
        <f t="shared" ref="BQ85" si="233">Q85*100/$K85</f>
        <v>0</v>
      </c>
      <c r="BR85" s="26">
        <f t="shared" ref="BR85" si="234">R85*100/$K85</f>
        <v>63.333333333333336</v>
      </c>
      <c r="BS85" s="26">
        <f t="shared" ref="BS85" si="235">S85*100/$K85</f>
        <v>60</v>
      </c>
      <c r="BT85" s="26">
        <f t="shared" ref="BT85" si="236">T85*100/$K85</f>
        <v>30</v>
      </c>
      <c r="BU85" s="26">
        <f t="shared" ref="BU85" si="237">U85*100/$K85</f>
        <v>70</v>
      </c>
      <c r="BV85" s="26">
        <f t="shared" ref="BV85" si="238">V85*100/$K85</f>
        <v>0</v>
      </c>
      <c r="BW85" s="26">
        <f t="shared" ref="BW85" si="239">W85*100/$K85</f>
        <v>16.666666666666668</v>
      </c>
      <c r="BX85" s="26">
        <f t="shared" ref="BX85" si="240">X85*100/$K85</f>
        <v>16.666666666666668</v>
      </c>
      <c r="BY85" s="26">
        <f t="shared" ref="BY85" si="241">Y85*100/$K85</f>
        <v>50</v>
      </c>
      <c r="BZ85" s="26">
        <f t="shared" ref="BZ85" si="242">Z85*100/$K85</f>
        <v>100</v>
      </c>
      <c r="CA85" s="26">
        <f t="shared" ref="CA85" si="243">AA85*100/$K85</f>
        <v>50</v>
      </c>
      <c r="CB85" s="26">
        <f t="shared" ref="CB85" si="244">AB85*100/$K85</f>
        <v>0</v>
      </c>
      <c r="CC85" s="26">
        <f t="shared" ref="CC85" si="245">AC85*100/$K85</f>
        <v>23.333333333333332</v>
      </c>
      <c r="CD85" s="26">
        <f t="shared" ref="CD85" si="246">AD85*100/$K85</f>
        <v>76.666666666666671</v>
      </c>
      <c r="CE85" s="26">
        <f t="shared" ref="CE85" si="247">AE85*100/$K85</f>
        <v>100</v>
      </c>
      <c r="CF85" s="26">
        <f t="shared" ref="CF85" si="248">AF85*100/$K85</f>
        <v>0</v>
      </c>
      <c r="CG85" s="26">
        <f t="shared" ref="CG85" si="249">AG85*100/$K85</f>
        <v>100</v>
      </c>
      <c r="CH85" s="26">
        <f t="shared" ref="CH85" si="250">AH85*100/$K85</f>
        <v>100</v>
      </c>
      <c r="CI85" s="26">
        <f t="shared" ref="CI85" si="251">AI85*100/$K85</f>
        <v>100</v>
      </c>
      <c r="CJ85" s="26">
        <f t="shared" ref="CJ85" si="252">AK85*100/AJ85</f>
        <v>52.814674256799492</v>
      </c>
      <c r="CK85" s="26">
        <f t="shared" ref="CK85" si="253">AL85*100/AJ85</f>
        <v>16.445287792536369</v>
      </c>
      <c r="CL85" s="26">
        <f t="shared" ref="CL85" si="254">AM85*100/$K85</f>
        <v>76.666666666666671</v>
      </c>
      <c r="CM85" s="26"/>
      <c r="CN85" s="26">
        <f t="shared" ref="CN85" si="255">AO85*100/$K85</f>
        <v>100</v>
      </c>
      <c r="CO85" s="26">
        <f t="shared" ref="CO85" si="256">AP85*100/$K85</f>
        <v>100</v>
      </c>
      <c r="CP85" s="26">
        <f t="shared" ref="CP85" si="257">AQ85*100/$K85</f>
        <v>100</v>
      </c>
      <c r="CQ85" s="26">
        <f t="shared" ref="CQ85" si="258">AR85*100/(AR85+AS85)</f>
        <v>100</v>
      </c>
      <c r="CR85" s="26">
        <f t="shared" ref="CR85" si="259">AT85*100/$K85</f>
        <v>3.3333333333333335</v>
      </c>
      <c r="CS85" s="26">
        <f t="shared" ref="CS85" si="260">BB85*100/$K85</f>
        <v>96.666666666666671</v>
      </c>
    </row>
    <row r="86" spans="1:97">
      <c r="A86" s="8" t="s">
        <v>242</v>
      </c>
      <c r="B86" s="8" t="s">
        <v>243</v>
      </c>
      <c r="C86" s="21" t="s">
        <v>145</v>
      </c>
      <c r="D86" s="9">
        <v>36</v>
      </c>
      <c r="E86" s="9">
        <v>27</v>
      </c>
      <c r="F86" s="9">
        <v>9</v>
      </c>
      <c r="G86" s="9">
        <v>0</v>
      </c>
      <c r="H86" s="9">
        <v>0</v>
      </c>
      <c r="I86" s="9">
        <v>0</v>
      </c>
      <c r="J86" s="9">
        <v>9</v>
      </c>
      <c r="K86" s="9">
        <v>24</v>
      </c>
      <c r="L86" s="9">
        <v>24</v>
      </c>
      <c r="M86" s="9">
        <v>24</v>
      </c>
      <c r="N86" s="9">
        <v>24</v>
      </c>
      <c r="O86" s="9">
        <v>24</v>
      </c>
      <c r="P86" s="9">
        <v>0</v>
      </c>
      <c r="Q86" s="9">
        <v>0</v>
      </c>
      <c r="R86" s="9">
        <v>22</v>
      </c>
      <c r="S86" s="9">
        <v>17</v>
      </c>
      <c r="T86" s="9">
        <v>7</v>
      </c>
      <c r="U86" s="9">
        <v>17</v>
      </c>
      <c r="V86" s="9">
        <v>0</v>
      </c>
      <c r="W86" s="9">
        <v>16</v>
      </c>
      <c r="X86" s="9">
        <v>16</v>
      </c>
      <c r="Y86" s="9">
        <v>8</v>
      </c>
      <c r="Z86" s="9">
        <v>24</v>
      </c>
      <c r="AA86" s="9">
        <v>16</v>
      </c>
      <c r="AB86" s="9">
        <v>0</v>
      </c>
      <c r="AC86" s="9">
        <v>7</v>
      </c>
      <c r="AD86" s="9">
        <v>17</v>
      </c>
      <c r="AE86" s="9">
        <v>24</v>
      </c>
      <c r="AF86" s="9">
        <v>0</v>
      </c>
      <c r="AG86" s="9">
        <v>24</v>
      </c>
      <c r="AH86" s="9">
        <v>24</v>
      </c>
      <c r="AI86" s="9">
        <v>24</v>
      </c>
      <c r="AJ86" s="9">
        <v>716</v>
      </c>
      <c r="AK86" s="9">
        <v>281</v>
      </c>
      <c r="AL86" s="9">
        <v>54</v>
      </c>
      <c r="AM86" s="9">
        <v>24</v>
      </c>
      <c r="AN86" s="9">
        <v>0</v>
      </c>
      <c r="AO86" s="9">
        <v>23</v>
      </c>
      <c r="AP86" s="9">
        <v>5</v>
      </c>
      <c r="AQ86" s="9">
        <v>23</v>
      </c>
      <c r="AR86" s="9">
        <v>18</v>
      </c>
      <c r="AS86" s="9">
        <v>1</v>
      </c>
      <c r="AT86" s="9">
        <v>4</v>
      </c>
      <c r="AU86" s="9">
        <v>9</v>
      </c>
      <c r="AV86" s="9">
        <v>3</v>
      </c>
      <c r="AW86" s="9">
        <v>4</v>
      </c>
      <c r="AX86" s="9">
        <v>4</v>
      </c>
      <c r="AY86" s="9">
        <v>0</v>
      </c>
      <c r="AZ86" s="9">
        <v>0</v>
      </c>
      <c r="BA86" s="9">
        <v>0</v>
      </c>
      <c r="BB86" s="9">
        <v>20</v>
      </c>
      <c r="BC86" s="20"/>
      <c r="BD86" s="19"/>
      <c r="BE86" s="19"/>
      <c r="BF86" s="19"/>
      <c r="BG86" s="10">
        <f t="shared" ref="BG86:BG87" si="261">E86*100/D86</f>
        <v>75</v>
      </c>
      <c r="BH86" s="10">
        <f t="shared" ref="BH86:BH87" si="262">F86*100/D86</f>
        <v>25</v>
      </c>
      <c r="BI86" s="10">
        <f t="shared" ref="BI86:BI87" si="263">G86*100/F86</f>
        <v>0</v>
      </c>
      <c r="BJ86" s="10">
        <f t="shared" ref="BJ86:BJ87" si="264">H86*100/F86</f>
        <v>0</v>
      </c>
      <c r="BK86" s="10">
        <f t="shared" ref="BK86:BK87" si="265">I86*100/F86</f>
        <v>0</v>
      </c>
      <c r="BL86" s="10">
        <f t="shared" ref="BL86:BL87" si="266">J86*100/F86</f>
        <v>100</v>
      </c>
      <c r="BM86" s="10">
        <f t="shared" ref="BM86:BM87" si="267">L86*100/$K86</f>
        <v>100</v>
      </c>
      <c r="BN86" s="10">
        <f t="shared" ref="BN86:BN87" si="268">M86*100/$K86</f>
        <v>100</v>
      </c>
      <c r="BO86" s="10">
        <f t="shared" ref="BO86:BO87" si="269">N86*100/$K86</f>
        <v>100</v>
      </c>
      <c r="BP86" s="10">
        <f t="shared" ref="BP86:BP87" si="270">O86*100/$K86</f>
        <v>100</v>
      </c>
      <c r="BQ86" s="10">
        <f t="shared" ref="BQ86:BQ87" si="271">Q86*100/$K86</f>
        <v>0</v>
      </c>
      <c r="BR86" s="10">
        <f t="shared" ref="BR86:BR87" si="272">R86*100/$K86</f>
        <v>91.666666666666671</v>
      </c>
      <c r="BS86" s="10">
        <f t="shared" ref="BS86:BS87" si="273">S86*100/$K86</f>
        <v>70.833333333333329</v>
      </c>
      <c r="BT86" s="10">
        <f t="shared" ref="BT86:BT87" si="274">T86*100/$K86</f>
        <v>29.166666666666668</v>
      </c>
      <c r="BU86" s="10">
        <f t="shared" ref="BU86:BU87" si="275">U86*100/$K86</f>
        <v>70.833333333333329</v>
      </c>
      <c r="BV86" s="10">
        <f t="shared" ref="BV86:BV87" si="276">V86*100/$K86</f>
        <v>0</v>
      </c>
      <c r="BW86" s="10">
        <f t="shared" ref="BW86:BW87" si="277">W86*100/$K86</f>
        <v>66.666666666666671</v>
      </c>
      <c r="BX86" s="10">
        <f t="shared" ref="BX86:BX87" si="278">X86*100/$K86</f>
        <v>66.666666666666671</v>
      </c>
      <c r="BY86" s="10">
        <f t="shared" ref="BY86:BY87" si="279">Y86*100/$K86</f>
        <v>33.333333333333336</v>
      </c>
      <c r="BZ86" s="10">
        <f t="shared" ref="BZ86:BZ87" si="280">Z86*100/$K86</f>
        <v>100</v>
      </c>
      <c r="CA86" s="10">
        <f t="shared" ref="CA86:CA87" si="281">AA86*100/$K86</f>
        <v>66.666666666666671</v>
      </c>
      <c r="CB86" s="10">
        <f t="shared" ref="CB86:CB87" si="282">AB86*100/$K86</f>
        <v>0</v>
      </c>
      <c r="CC86" s="10">
        <f t="shared" ref="CC86:CC87" si="283">AC86*100/$K86</f>
        <v>29.166666666666668</v>
      </c>
      <c r="CD86" s="10">
        <f t="shared" ref="CD86:CD87" si="284">AD86*100/$K86</f>
        <v>70.833333333333329</v>
      </c>
      <c r="CE86" s="10">
        <f t="shared" ref="CE86:CE87" si="285">AE86*100/$K86</f>
        <v>100</v>
      </c>
      <c r="CF86" s="10">
        <f t="shared" ref="CF86:CF87" si="286">AF86*100/$K86</f>
        <v>0</v>
      </c>
      <c r="CG86" s="10">
        <f t="shared" ref="CG86:CG87" si="287">AG86*100/$K86</f>
        <v>100</v>
      </c>
      <c r="CH86" s="10">
        <f t="shared" ref="CH86:CH87" si="288">AH86*100/$K86</f>
        <v>100</v>
      </c>
      <c r="CI86" s="10">
        <f t="shared" ref="CI86:CI87" si="289">AI86*100/$K86</f>
        <v>100</v>
      </c>
      <c r="CJ86" s="10">
        <f t="shared" ref="CJ86:CJ87" si="290">AK86*100/AJ86</f>
        <v>39.245810055865924</v>
      </c>
      <c r="CK86" s="10">
        <f t="shared" ref="CK86:CK87" si="291">AL86*100/AJ86</f>
        <v>7.5418994413407825</v>
      </c>
      <c r="CL86" s="10">
        <f t="shared" ref="CL86:CL87" si="292">AM86*100/$K86</f>
        <v>100</v>
      </c>
      <c r="CM86" s="10"/>
      <c r="CN86" s="10">
        <f t="shared" ref="CN86:CN87" si="293">AO86*100/$K86</f>
        <v>95.833333333333329</v>
      </c>
      <c r="CO86" s="10">
        <f t="shared" ref="CO86:CO87" si="294">AP86*100/$K86</f>
        <v>20.833333333333332</v>
      </c>
      <c r="CP86" s="10">
        <f t="shared" ref="CP86:CP87" si="295">AQ86*100/$K86</f>
        <v>95.833333333333329</v>
      </c>
      <c r="CQ86" s="10">
        <f t="shared" ref="CQ86:CQ87" si="296">AR86*100/(AR86+AS86)</f>
        <v>94.736842105263165</v>
      </c>
      <c r="CR86" s="10">
        <f t="shared" ref="CR86:CR87" si="297">AT86*100/$K86</f>
        <v>16.666666666666668</v>
      </c>
      <c r="CS86" s="10">
        <f t="shared" ref="CS86:CS87" si="298">BB86*100/$K86</f>
        <v>83.333333333333329</v>
      </c>
    </row>
    <row r="87" spans="1:97">
      <c r="A87" s="8" t="s">
        <v>242</v>
      </c>
      <c r="B87" s="8" t="s">
        <v>244</v>
      </c>
      <c r="C87" s="21" t="s">
        <v>145</v>
      </c>
      <c r="D87" s="9">
        <v>42</v>
      </c>
      <c r="E87" s="9">
        <v>34</v>
      </c>
      <c r="F87" s="9">
        <v>8</v>
      </c>
      <c r="G87" s="9">
        <v>6</v>
      </c>
      <c r="H87" s="9">
        <v>0</v>
      </c>
      <c r="I87" s="9">
        <v>0</v>
      </c>
      <c r="J87" s="9">
        <v>2</v>
      </c>
      <c r="K87" s="9">
        <v>34</v>
      </c>
      <c r="L87" s="9">
        <v>34</v>
      </c>
      <c r="M87" s="9">
        <v>34</v>
      </c>
      <c r="N87" s="9">
        <v>34</v>
      </c>
      <c r="O87" s="9">
        <v>34</v>
      </c>
      <c r="P87" s="9">
        <v>0</v>
      </c>
      <c r="Q87" s="9">
        <v>0</v>
      </c>
      <c r="R87" s="9">
        <v>32</v>
      </c>
      <c r="S87" s="9">
        <v>14</v>
      </c>
      <c r="T87" s="9">
        <v>22</v>
      </c>
      <c r="U87" s="9">
        <v>12</v>
      </c>
      <c r="V87" s="9">
        <v>0</v>
      </c>
      <c r="W87" s="9">
        <v>11</v>
      </c>
      <c r="X87" s="9">
        <v>10</v>
      </c>
      <c r="Y87" s="9">
        <v>19</v>
      </c>
      <c r="Z87" s="9">
        <v>34</v>
      </c>
      <c r="AA87" s="9">
        <v>15</v>
      </c>
      <c r="AB87" s="9">
        <v>0</v>
      </c>
      <c r="AC87" s="9">
        <v>22</v>
      </c>
      <c r="AD87" s="9">
        <v>12</v>
      </c>
      <c r="AE87" s="9">
        <v>34</v>
      </c>
      <c r="AF87" s="9">
        <v>0</v>
      </c>
      <c r="AG87" s="9">
        <v>34</v>
      </c>
      <c r="AH87" s="9">
        <v>34</v>
      </c>
      <c r="AI87" s="9">
        <v>34</v>
      </c>
      <c r="AJ87" s="9">
        <v>1356</v>
      </c>
      <c r="AK87" s="9">
        <v>674</v>
      </c>
      <c r="AL87" s="9">
        <v>101</v>
      </c>
      <c r="AM87" s="9">
        <v>11</v>
      </c>
      <c r="AN87" s="9">
        <v>1</v>
      </c>
      <c r="AO87" s="9">
        <v>30</v>
      </c>
      <c r="AP87" s="9">
        <v>2</v>
      </c>
      <c r="AQ87" s="9">
        <v>30</v>
      </c>
      <c r="AR87" s="9">
        <v>11</v>
      </c>
      <c r="AS87" s="9">
        <v>19</v>
      </c>
      <c r="AT87" s="9">
        <v>5</v>
      </c>
      <c r="AU87" s="9">
        <v>6</v>
      </c>
      <c r="AV87" s="9">
        <v>13</v>
      </c>
      <c r="AW87" s="9">
        <v>5</v>
      </c>
      <c r="AX87" s="9">
        <v>1</v>
      </c>
      <c r="AY87" s="9">
        <v>0</v>
      </c>
      <c r="AZ87" s="9">
        <v>3</v>
      </c>
      <c r="BA87" s="9">
        <v>1</v>
      </c>
      <c r="BB87" s="9">
        <v>29</v>
      </c>
      <c r="BC87" s="20"/>
      <c r="BD87" s="19"/>
      <c r="BE87" s="19"/>
      <c r="BF87" s="19"/>
      <c r="BG87" s="10">
        <f t="shared" si="261"/>
        <v>80.952380952380949</v>
      </c>
      <c r="BH87" s="10">
        <f t="shared" si="262"/>
        <v>19.047619047619047</v>
      </c>
      <c r="BI87" s="10">
        <f t="shared" si="263"/>
        <v>75</v>
      </c>
      <c r="BJ87" s="10">
        <f t="shared" si="264"/>
        <v>0</v>
      </c>
      <c r="BK87" s="10">
        <f t="shared" si="265"/>
        <v>0</v>
      </c>
      <c r="BL87" s="10">
        <f t="shared" si="266"/>
        <v>25</v>
      </c>
      <c r="BM87" s="10">
        <f t="shared" si="267"/>
        <v>100</v>
      </c>
      <c r="BN87" s="10">
        <f t="shared" si="268"/>
        <v>100</v>
      </c>
      <c r="BO87" s="10">
        <f t="shared" si="269"/>
        <v>100</v>
      </c>
      <c r="BP87" s="10">
        <f t="shared" si="270"/>
        <v>100</v>
      </c>
      <c r="BQ87" s="10">
        <f t="shared" si="271"/>
        <v>0</v>
      </c>
      <c r="BR87" s="10">
        <f t="shared" si="272"/>
        <v>94.117647058823536</v>
      </c>
      <c r="BS87" s="10">
        <f t="shared" si="273"/>
        <v>41.176470588235297</v>
      </c>
      <c r="BT87" s="10">
        <f t="shared" si="274"/>
        <v>64.705882352941174</v>
      </c>
      <c r="BU87" s="10">
        <f t="shared" si="275"/>
        <v>35.294117647058826</v>
      </c>
      <c r="BV87" s="10">
        <f t="shared" si="276"/>
        <v>0</v>
      </c>
      <c r="BW87" s="10">
        <f t="shared" si="277"/>
        <v>32.352941176470587</v>
      </c>
      <c r="BX87" s="10">
        <f t="shared" si="278"/>
        <v>29.411764705882351</v>
      </c>
      <c r="BY87" s="10">
        <f t="shared" si="279"/>
        <v>55.882352941176471</v>
      </c>
      <c r="BZ87" s="10">
        <f t="shared" si="280"/>
        <v>100</v>
      </c>
      <c r="CA87" s="10">
        <f t="shared" si="281"/>
        <v>44.117647058823529</v>
      </c>
      <c r="CB87" s="10">
        <f t="shared" si="282"/>
        <v>0</v>
      </c>
      <c r="CC87" s="10">
        <f t="shared" si="283"/>
        <v>64.705882352941174</v>
      </c>
      <c r="CD87" s="10">
        <f t="shared" si="284"/>
        <v>35.294117647058826</v>
      </c>
      <c r="CE87" s="10">
        <f t="shared" si="285"/>
        <v>100</v>
      </c>
      <c r="CF87" s="10">
        <f t="shared" si="286"/>
        <v>0</v>
      </c>
      <c r="CG87" s="10">
        <f t="shared" si="287"/>
        <v>100</v>
      </c>
      <c r="CH87" s="10">
        <f t="shared" si="288"/>
        <v>100</v>
      </c>
      <c r="CI87" s="10">
        <f t="shared" si="289"/>
        <v>100</v>
      </c>
      <c r="CJ87" s="10">
        <f t="shared" si="290"/>
        <v>49.705014749262538</v>
      </c>
      <c r="CK87" s="10">
        <f t="shared" si="291"/>
        <v>7.4483775811209441</v>
      </c>
      <c r="CL87" s="10">
        <f t="shared" si="292"/>
        <v>32.352941176470587</v>
      </c>
      <c r="CM87" s="10"/>
      <c r="CN87" s="10">
        <f t="shared" si="293"/>
        <v>88.235294117647058</v>
      </c>
      <c r="CO87" s="10">
        <f t="shared" si="294"/>
        <v>5.882352941176471</v>
      </c>
      <c r="CP87" s="10">
        <f t="shared" si="295"/>
        <v>88.235294117647058</v>
      </c>
      <c r="CQ87" s="10">
        <f t="shared" si="296"/>
        <v>36.666666666666664</v>
      </c>
      <c r="CR87" s="10">
        <f t="shared" si="297"/>
        <v>14.705882352941176</v>
      </c>
      <c r="CS87" s="10">
        <f t="shared" si="298"/>
        <v>85.294117647058826</v>
      </c>
    </row>
    <row r="88" spans="1:97">
      <c r="A88" s="22" t="s">
        <v>245</v>
      </c>
      <c r="B88" s="22"/>
      <c r="C88" s="23" t="s">
        <v>145</v>
      </c>
      <c r="D88" s="24">
        <v>78</v>
      </c>
      <c r="E88" s="24">
        <v>61</v>
      </c>
      <c r="F88" s="24">
        <v>17</v>
      </c>
      <c r="G88" s="24">
        <v>6</v>
      </c>
      <c r="H88" s="24">
        <v>0</v>
      </c>
      <c r="I88" s="24">
        <v>0</v>
      </c>
      <c r="J88" s="24">
        <v>11</v>
      </c>
      <c r="K88" s="24">
        <v>58</v>
      </c>
      <c r="L88" s="24">
        <v>58</v>
      </c>
      <c r="M88" s="24">
        <v>58</v>
      </c>
      <c r="N88" s="24">
        <v>58</v>
      </c>
      <c r="O88" s="24">
        <v>58</v>
      </c>
      <c r="P88" s="24">
        <v>0</v>
      </c>
      <c r="Q88" s="24">
        <v>0</v>
      </c>
      <c r="R88" s="24">
        <v>54</v>
      </c>
      <c r="S88" s="24">
        <v>31</v>
      </c>
      <c r="T88" s="24">
        <v>29</v>
      </c>
      <c r="U88" s="24">
        <v>29</v>
      </c>
      <c r="V88" s="24">
        <v>0</v>
      </c>
      <c r="W88" s="24">
        <v>27</v>
      </c>
      <c r="X88" s="24">
        <v>26</v>
      </c>
      <c r="Y88" s="24">
        <v>27</v>
      </c>
      <c r="Z88" s="24">
        <v>58</v>
      </c>
      <c r="AA88" s="24">
        <v>31</v>
      </c>
      <c r="AB88" s="24">
        <v>0</v>
      </c>
      <c r="AC88" s="24">
        <v>29</v>
      </c>
      <c r="AD88" s="24">
        <v>29</v>
      </c>
      <c r="AE88" s="24">
        <v>58</v>
      </c>
      <c r="AF88" s="24">
        <v>0</v>
      </c>
      <c r="AG88" s="24">
        <v>58</v>
      </c>
      <c r="AH88" s="24">
        <v>58</v>
      </c>
      <c r="AI88" s="24">
        <v>58</v>
      </c>
      <c r="AJ88" s="24">
        <v>2072</v>
      </c>
      <c r="AK88" s="24">
        <v>955</v>
      </c>
      <c r="AL88" s="24">
        <v>155</v>
      </c>
      <c r="AM88" s="24">
        <v>35</v>
      </c>
      <c r="AN88" s="24">
        <v>1</v>
      </c>
      <c r="AO88" s="24">
        <v>53</v>
      </c>
      <c r="AP88" s="24">
        <v>7</v>
      </c>
      <c r="AQ88" s="24">
        <v>53</v>
      </c>
      <c r="AR88" s="24">
        <v>29</v>
      </c>
      <c r="AS88" s="24">
        <v>20</v>
      </c>
      <c r="AT88" s="24">
        <v>9</v>
      </c>
      <c r="AU88" s="24">
        <v>15</v>
      </c>
      <c r="AV88" s="24">
        <v>16</v>
      </c>
      <c r="AW88" s="24">
        <v>9</v>
      </c>
      <c r="AX88" s="24">
        <v>5</v>
      </c>
      <c r="AY88" s="24">
        <v>0</v>
      </c>
      <c r="AZ88" s="24">
        <v>3</v>
      </c>
      <c r="BA88" s="24">
        <v>1</v>
      </c>
      <c r="BB88" s="24">
        <v>49</v>
      </c>
      <c r="BC88" s="27"/>
      <c r="BD88" s="28"/>
      <c r="BE88" s="28"/>
      <c r="BF88" s="28"/>
      <c r="BG88" s="26">
        <f t="shared" ref="BG88:BG91" si="299">E88*100/D88</f>
        <v>78.205128205128204</v>
      </c>
      <c r="BH88" s="26">
        <f t="shared" ref="BH88:BH91" si="300">F88*100/D88</f>
        <v>21.794871794871796</v>
      </c>
      <c r="BI88" s="26">
        <f t="shared" ref="BI88:BI91" si="301">G88*100/F88</f>
        <v>35.294117647058826</v>
      </c>
      <c r="BJ88" s="26">
        <f t="shared" ref="BJ88:BJ91" si="302">H88*100/F88</f>
        <v>0</v>
      </c>
      <c r="BK88" s="26">
        <f t="shared" ref="BK88:BK91" si="303">I88*100/F88</f>
        <v>0</v>
      </c>
      <c r="BL88" s="26">
        <f t="shared" ref="BL88:BL91" si="304">J88*100/F88</f>
        <v>64.705882352941174</v>
      </c>
      <c r="BM88" s="26">
        <f t="shared" ref="BM88:BM91" si="305">L88*100/$K88</f>
        <v>100</v>
      </c>
      <c r="BN88" s="26">
        <f t="shared" ref="BN88:BN91" si="306">M88*100/$K88</f>
        <v>100</v>
      </c>
      <c r="BO88" s="26">
        <f t="shared" ref="BO88:BO91" si="307">N88*100/$K88</f>
        <v>100</v>
      </c>
      <c r="BP88" s="26">
        <f t="shared" ref="BP88:BP91" si="308">O88*100/$K88</f>
        <v>100</v>
      </c>
      <c r="BQ88" s="26">
        <f t="shared" ref="BQ88:BQ91" si="309">Q88*100/$K88</f>
        <v>0</v>
      </c>
      <c r="BR88" s="26">
        <f t="shared" ref="BR88:BR91" si="310">R88*100/$K88</f>
        <v>93.103448275862064</v>
      </c>
      <c r="BS88" s="26">
        <f t="shared" ref="BS88:BS91" si="311">S88*100/$K88</f>
        <v>53.448275862068968</v>
      </c>
      <c r="BT88" s="26">
        <f t="shared" ref="BT88:BT91" si="312">T88*100/$K88</f>
        <v>50</v>
      </c>
      <c r="BU88" s="26">
        <f t="shared" ref="BU88:BU91" si="313">U88*100/$K88</f>
        <v>50</v>
      </c>
      <c r="BV88" s="26">
        <f t="shared" ref="BV88:BV91" si="314">V88*100/$K88</f>
        <v>0</v>
      </c>
      <c r="BW88" s="26">
        <f t="shared" ref="BW88:BW91" si="315">W88*100/$K88</f>
        <v>46.551724137931032</v>
      </c>
      <c r="BX88" s="26">
        <f t="shared" ref="BX88:BX91" si="316">X88*100/$K88</f>
        <v>44.827586206896555</v>
      </c>
      <c r="BY88" s="26">
        <f t="shared" ref="BY88:BY91" si="317">Y88*100/$K88</f>
        <v>46.551724137931032</v>
      </c>
      <c r="BZ88" s="26">
        <f t="shared" ref="BZ88:BZ91" si="318">Z88*100/$K88</f>
        <v>100</v>
      </c>
      <c r="CA88" s="26">
        <f t="shared" ref="CA88:CA91" si="319">AA88*100/$K88</f>
        <v>53.448275862068968</v>
      </c>
      <c r="CB88" s="26">
        <f t="shared" ref="CB88:CB91" si="320">AB88*100/$K88</f>
        <v>0</v>
      </c>
      <c r="CC88" s="26">
        <f t="shared" ref="CC88:CC91" si="321">AC88*100/$K88</f>
        <v>50</v>
      </c>
      <c r="CD88" s="26">
        <f t="shared" ref="CD88:CD91" si="322">AD88*100/$K88</f>
        <v>50</v>
      </c>
      <c r="CE88" s="26">
        <f t="shared" ref="CE88:CE91" si="323">AE88*100/$K88</f>
        <v>100</v>
      </c>
      <c r="CF88" s="26">
        <f t="shared" ref="CF88:CF91" si="324">AF88*100/$K88</f>
        <v>0</v>
      </c>
      <c r="CG88" s="26">
        <f t="shared" ref="CG88:CG91" si="325">AG88*100/$K88</f>
        <v>100</v>
      </c>
      <c r="CH88" s="26">
        <f t="shared" ref="CH88:CH91" si="326">AH88*100/$K88</f>
        <v>100</v>
      </c>
      <c r="CI88" s="26">
        <f t="shared" ref="CI88:CI91" si="327">AI88*100/$K88</f>
        <v>100</v>
      </c>
      <c r="CJ88" s="26">
        <f t="shared" ref="CJ88:CJ91" si="328">AK88*100/AJ88</f>
        <v>46.090733590733592</v>
      </c>
      <c r="CK88" s="26">
        <f t="shared" ref="CK88:CK91" si="329">AL88*100/AJ88</f>
        <v>7.480694980694981</v>
      </c>
      <c r="CL88" s="26">
        <f t="shared" ref="CL88:CL91" si="330">AM88*100/$K88</f>
        <v>60.344827586206897</v>
      </c>
      <c r="CM88" s="26"/>
      <c r="CN88" s="26">
        <f t="shared" ref="CN88:CN91" si="331">AO88*100/$K88</f>
        <v>91.379310344827587</v>
      </c>
      <c r="CO88" s="26">
        <f t="shared" ref="CO88:CO91" si="332">AP88*100/$K88</f>
        <v>12.068965517241379</v>
      </c>
      <c r="CP88" s="26">
        <f t="shared" ref="CP88:CP91" si="333">AQ88*100/$K88</f>
        <v>91.379310344827587</v>
      </c>
      <c r="CQ88" s="26">
        <f t="shared" ref="CQ88:CQ91" si="334">AR88*100/(AR88+AS88)</f>
        <v>59.183673469387756</v>
      </c>
      <c r="CR88" s="26">
        <f t="shared" ref="CR88:CR91" si="335">AT88*100/$K88</f>
        <v>15.517241379310345</v>
      </c>
      <c r="CS88" s="26">
        <f t="shared" ref="CS88:CS91" si="336">BB88*100/$K88</f>
        <v>84.482758620689651</v>
      </c>
    </row>
    <row r="89" spans="1:97">
      <c r="A89" s="8" t="s">
        <v>246</v>
      </c>
      <c r="B89" s="8" t="s">
        <v>247</v>
      </c>
      <c r="C89" s="21" t="s">
        <v>145</v>
      </c>
      <c r="D89" s="9">
        <v>32</v>
      </c>
      <c r="E89" s="9">
        <v>30</v>
      </c>
      <c r="F89" s="9">
        <v>2</v>
      </c>
      <c r="G89" s="9">
        <v>2</v>
      </c>
      <c r="H89" s="9">
        <v>0</v>
      </c>
      <c r="I89" s="9">
        <v>0</v>
      </c>
      <c r="J89" s="9">
        <v>0</v>
      </c>
      <c r="K89" s="9">
        <v>30</v>
      </c>
      <c r="L89" s="9">
        <v>27</v>
      </c>
      <c r="M89" s="9">
        <v>30</v>
      </c>
      <c r="N89" s="9">
        <v>28</v>
      </c>
      <c r="O89" s="9">
        <v>29</v>
      </c>
      <c r="P89" s="9">
        <v>0</v>
      </c>
      <c r="Q89" s="9">
        <v>0</v>
      </c>
      <c r="R89" s="9">
        <v>28</v>
      </c>
      <c r="S89" s="9">
        <v>28</v>
      </c>
      <c r="T89" s="9">
        <v>11</v>
      </c>
      <c r="U89" s="9">
        <v>18</v>
      </c>
      <c r="V89" s="9">
        <v>1</v>
      </c>
      <c r="W89" s="9">
        <v>8</v>
      </c>
      <c r="X89" s="9">
        <v>3</v>
      </c>
      <c r="Y89" s="9">
        <v>12</v>
      </c>
      <c r="Z89" s="9">
        <v>29</v>
      </c>
      <c r="AA89" s="9">
        <v>17</v>
      </c>
      <c r="AB89" s="9">
        <v>1</v>
      </c>
      <c r="AC89" s="9">
        <v>12</v>
      </c>
      <c r="AD89" s="9">
        <v>17</v>
      </c>
      <c r="AE89" s="9">
        <v>29</v>
      </c>
      <c r="AF89" s="9">
        <v>1</v>
      </c>
      <c r="AG89" s="9">
        <v>30</v>
      </c>
      <c r="AH89" s="9">
        <v>30</v>
      </c>
      <c r="AI89" s="9">
        <v>30</v>
      </c>
      <c r="AJ89" s="9">
        <v>981</v>
      </c>
      <c r="AK89" s="9">
        <v>795</v>
      </c>
      <c r="AL89" s="9">
        <v>10</v>
      </c>
      <c r="AM89" s="9">
        <v>4</v>
      </c>
      <c r="AN89" s="9">
        <v>0</v>
      </c>
      <c r="AO89" s="9">
        <v>27</v>
      </c>
      <c r="AP89" s="9">
        <v>27</v>
      </c>
      <c r="AQ89" s="9">
        <v>27</v>
      </c>
      <c r="AR89" s="9">
        <v>8</v>
      </c>
      <c r="AS89" s="9">
        <v>19</v>
      </c>
      <c r="AT89" s="9">
        <v>6</v>
      </c>
      <c r="AU89" s="9">
        <v>24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24</v>
      </c>
      <c r="BC89" s="20"/>
      <c r="BD89" s="19"/>
      <c r="BE89" s="19"/>
      <c r="BF89" s="19"/>
      <c r="BG89" s="10">
        <f t="shared" si="299"/>
        <v>93.75</v>
      </c>
      <c r="BH89" s="10">
        <f t="shared" si="300"/>
        <v>6.25</v>
      </c>
      <c r="BI89" s="10">
        <f t="shared" si="301"/>
        <v>100</v>
      </c>
      <c r="BJ89" s="10">
        <f t="shared" si="302"/>
        <v>0</v>
      </c>
      <c r="BK89" s="10">
        <f t="shared" si="303"/>
        <v>0</v>
      </c>
      <c r="BL89" s="10">
        <f t="shared" si="304"/>
        <v>0</v>
      </c>
      <c r="BM89" s="10">
        <f t="shared" si="305"/>
        <v>90</v>
      </c>
      <c r="BN89" s="10">
        <f t="shared" si="306"/>
        <v>100</v>
      </c>
      <c r="BO89" s="10">
        <f t="shared" si="307"/>
        <v>93.333333333333329</v>
      </c>
      <c r="BP89" s="10">
        <f t="shared" si="308"/>
        <v>96.666666666666671</v>
      </c>
      <c r="BQ89" s="10">
        <f t="shared" si="309"/>
        <v>0</v>
      </c>
      <c r="BR89" s="10">
        <f t="shared" si="310"/>
        <v>93.333333333333329</v>
      </c>
      <c r="BS89" s="10">
        <f t="shared" si="311"/>
        <v>93.333333333333329</v>
      </c>
      <c r="BT89" s="10">
        <f t="shared" si="312"/>
        <v>36.666666666666664</v>
      </c>
      <c r="BU89" s="10">
        <f t="shared" si="313"/>
        <v>60</v>
      </c>
      <c r="BV89" s="10">
        <f t="shared" si="314"/>
        <v>3.3333333333333335</v>
      </c>
      <c r="BW89" s="10">
        <f t="shared" si="315"/>
        <v>26.666666666666668</v>
      </c>
      <c r="BX89" s="10">
        <f t="shared" si="316"/>
        <v>10</v>
      </c>
      <c r="BY89" s="10">
        <f t="shared" si="317"/>
        <v>40</v>
      </c>
      <c r="BZ89" s="10">
        <f t="shared" si="318"/>
        <v>96.666666666666671</v>
      </c>
      <c r="CA89" s="10">
        <f t="shared" si="319"/>
        <v>56.666666666666664</v>
      </c>
      <c r="CB89" s="10">
        <f t="shared" si="320"/>
        <v>3.3333333333333335</v>
      </c>
      <c r="CC89" s="10">
        <f t="shared" si="321"/>
        <v>40</v>
      </c>
      <c r="CD89" s="10">
        <f t="shared" si="322"/>
        <v>56.666666666666664</v>
      </c>
      <c r="CE89" s="10">
        <f t="shared" si="323"/>
        <v>96.666666666666671</v>
      </c>
      <c r="CF89" s="10">
        <f t="shared" si="324"/>
        <v>3.3333333333333335</v>
      </c>
      <c r="CG89" s="10">
        <f t="shared" si="325"/>
        <v>100</v>
      </c>
      <c r="CH89" s="10">
        <f t="shared" si="326"/>
        <v>100</v>
      </c>
      <c r="CI89" s="10">
        <f t="shared" si="327"/>
        <v>100</v>
      </c>
      <c r="CJ89" s="10">
        <f t="shared" si="328"/>
        <v>81.039755351681961</v>
      </c>
      <c r="CK89" s="10">
        <f t="shared" si="329"/>
        <v>1.019367991845056</v>
      </c>
      <c r="CL89" s="10">
        <f t="shared" si="330"/>
        <v>13.333333333333334</v>
      </c>
      <c r="CM89" s="10"/>
      <c r="CN89" s="10">
        <f t="shared" si="331"/>
        <v>90</v>
      </c>
      <c r="CO89" s="10">
        <f t="shared" si="332"/>
        <v>90</v>
      </c>
      <c r="CP89" s="10">
        <f t="shared" si="333"/>
        <v>90</v>
      </c>
      <c r="CQ89" s="10">
        <f t="shared" si="334"/>
        <v>29.62962962962963</v>
      </c>
      <c r="CR89" s="10">
        <f t="shared" si="335"/>
        <v>20</v>
      </c>
      <c r="CS89" s="10">
        <f t="shared" si="336"/>
        <v>80</v>
      </c>
    </row>
    <row r="90" spans="1:97">
      <c r="A90" s="8" t="s">
        <v>246</v>
      </c>
      <c r="B90" s="8" t="s">
        <v>248</v>
      </c>
      <c r="C90" s="21" t="s">
        <v>145</v>
      </c>
      <c r="D90" s="9">
        <v>28</v>
      </c>
      <c r="E90" s="9">
        <v>28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27</v>
      </c>
      <c r="L90" s="9">
        <v>19</v>
      </c>
      <c r="M90" s="9">
        <v>27</v>
      </c>
      <c r="N90" s="9">
        <v>27</v>
      </c>
      <c r="O90" s="9">
        <v>26</v>
      </c>
      <c r="P90" s="9">
        <v>0</v>
      </c>
      <c r="Q90" s="9">
        <v>0</v>
      </c>
      <c r="R90" s="9">
        <v>25</v>
      </c>
      <c r="S90" s="9">
        <v>22</v>
      </c>
      <c r="T90" s="9">
        <v>14</v>
      </c>
      <c r="U90" s="9">
        <v>13</v>
      </c>
      <c r="V90" s="9">
        <v>0</v>
      </c>
      <c r="W90" s="9">
        <v>10</v>
      </c>
      <c r="X90" s="9">
        <v>8</v>
      </c>
      <c r="Y90" s="9">
        <v>16</v>
      </c>
      <c r="Z90" s="9">
        <v>27</v>
      </c>
      <c r="AA90" s="9">
        <v>11</v>
      </c>
      <c r="AB90" s="9">
        <v>0</v>
      </c>
      <c r="AC90" s="9">
        <v>22</v>
      </c>
      <c r="AD90" s="9">
        <v>5</v>
      </c>
      <c r="AE90" s="9">
        <v>27</v>
      </c>
      <c r="AF90" s="9">
        <v>0</v>
      </c>
      <c r="AG90" s="9">
        <v>27</v>
      </c>
      <c r="AH90" s="9">
        <v>27</v>
      </c>
      <c r="AI90" s="9">
        <v>27</v>
      </c>
      <c r="AJ90" s="9">
        <v>847</v>
      </c>
      <c r="AK90" s="9">
        <v>792</v>
      </c>
      <c r="AL90" s="9">
        <v>0</v>
      </c>
      <c r="AM90" s="9">
        <v>0</v>
      </c>
      <c r="AN90" s="9">
        <v>0</v>
      </c>
      <c r="AO90" s="9">
        <v>26</v>
      </c>
      <c r="AP90" s="9">
        <v>24</v>
      </c>
      <c r="AQ90" s="9">
        <v>26</v>
      </c>
      <c r="AR90" s="9">
        <v>6</v>
      </c>
      <c r="AS90" s="9">
        <v>1</v>
      </c>
      <c r="AT90" s="9">
        <v>11</v>
      </c>
      <c r="AU90" s="9">
        <v>15</v>
      </c>
      <c r="AV90" s="9">
        <v>1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16</v>
      </c>
      <c r="BC90" s="20"/>
      <c r="BD90" s="19"/>
      <c r="BE90" s="19"/>
      <c r="BF90" s="19"/>
      <c r="BG90" s="10">
        <f t="shared" si="299"/>
        <v>100</v>
      </c>
      <c r="BH90" s="10">
        <f t="shared" si="300"/>
        <v>0</v>
      </c>
      <c r="BI90" s="10" t="e">
        <f t="shared" si="301"/>
        <v>#DIV/0!</v>
      </c>
      <c r="BJ90" s="10" t="e">
        <f t="shared" si="302"/>
        <v>#DIV/0!</v>
      </c>
      <c r="BK90" s="10" t="e">
        <f t="shared" si="303"/>
        <v>#DIV/0!</v>
      </c>
      <c r="BL90" s="10" t="e">
        <f t="shared" si="304"/>
        <v>#DIV/0!</v>
      </c>
      <c r="BM90" s="10">
        <f t="shared" si="305"/>
        <v>70.370370370370367</v>
      </c>
      <c r="BN90" s="10">
        <f t="shared" si="306"/>
        <v>100</v>
      </c>
      <c r="BO90" s="10">
        <f t="shared" si="307"/>
        <v>100</v>
      </c>
      <c r="BP90" s="10">
        <f t="shared" si="308"/>
        <v>96.296296296296291</v>
      </c>
      <c r="BQ90" s="10">
        <f t="shared" si="309"/>
        <v>0</v>
      </c>
      <c r="BR90" s="10">
        <f t="shared" si="310"/>
        <v>92.592592592592595</v>
      </c>
      <c r="BS90" s="10">
        <f t="shared" si="311"/>
        <v>81.481481481481481</v>
      </c>
      <c r="BT90" s="10">
        <f t="shared" si="312"/>
        <v>51.851851851851855</v>
      </c>
      <c r="BU90" s="10">
        <f t="shared" si="313"/>
        <v>48.148148148148145</v>
      </c>
      <c r="BV90" s="10">
        <f t="shared" si="314"/>
        <v>0</v>
      </c>
      <c r="BW90" s="10">
        <f t="shared" si="315"/>
        <v>37.037037037037038</v>
      </c>
      <c r="BX90" s="10">
        <f t="shared" si="316"/>
        <v>29.62962962962963</v>
      </c>
      <c r="BY90" s="10">
        <f t="shared" si="317"/>
        <v>59.25925925925926</v>
      </c>
      <c r="BZ90" s="10">
        <f t="shared" si="318"/>
        <v>100</v>
      </c>
      <c r="CA90" s="10">
        <f t="shared" si="319"/>
        <v>40.74074074074074</v>
      </c>
      <c r="CB90" s="10">
        <f t="shared" si="320"/>
        <v>0</v>
      </c>
      <c r="CC90" s="10">
        <f t="shared" si="321"/>
        <v>81.481481481481481</v>
      </c>
      <c r="CD90" s="10">
        <f t="shared" si="322"/>
        <v>18.518518518518519</v>
      </c>
      <c r="CE90" s="10">
        <f t="shared" si="323"/>
        <v>100</v>
      </c>
      <c r="CF90" s="10">
        <f t="shared" si="324"/>
        <v>0</v>
      </c>
      <c r="CG90" s="10">
        <f t="shared" si="325"/>
        <v>100</v>
      </c>
      <c r="CH90" s="10">
        <f t="shared" si="326"/>
        <v>100</v>
      </c>
      <c r="CI90" s="10">
        <f t="shared" si="327"/>
        <v>100</v>
      </c>
      <c r="CJ90" s="10">
        <f t="shared" si="328"/>
        <v>93.506493506493513</v>
      </c>
      <c r="CK90" s="10">
        <f t="shared" si="329"/>
        <v>0</v>
      </c>
      <c r="CL90" s="10">
        <f t="shared" si="330"/>
        <v>0</v>
      </c>
      <c r="CM90" s="10"/>
      <c r="CN90" s="10">
        <f t="shared" si="331"/>
        <v>96.296296296296291</v>
      </c>
      <c r="CO90" s="10">
        <f t="shared" si="332"/>
        <v>88.888888888888886</v>
      </c>
      <c r="CP90" s="10">
        <f t="shared" si="333"/>
        <v>96.296296296296291</v>
      </c>
      <c r="CQ90" s="10">
        <f t="shared" si="334"/>
        <v>85.714285714285708</v>
      </c>
      <c r="CR90" s="10">
        <f t="shared" si="335"/>
        <v>40.74074074074074</v>
      </c>
      <c r="CS90" s="10">
        <f t="shared" si="336"/>
        <v>59.25925925925926</v>
      </c>
    </row>
    <row r="91" spans="1:97">
      <c r="A91" s="22" t="s">
        <v>249</v>
      </c>
      <c r="B91" s="24"/>
      <c r="C91" s="23" t="s">
        <v>145</v>
      </c>
      <c r="D91" s="24">
        <v>60</v>
      </c>
      <c r="E91" s="24">
        <v>58</v>
      </c>
      <c r="F91" s="24">
        <v>2</v>
      </c>
      <c r="G91" s="24">
        <v>2</v>
      </c>
      <c r="H91" s="24">
        <v>0</v>
      </c>
      <c r="I91" s="24">
        <v>0</v>
      </c>
      <c r="J91" s="24">
        <v>0</v>
      </c>
      <c r="K91" s="24">
        <v>57</v>
      </c>
      <c r="L91" s="24">
        <v>46</v>
      </c>
      <c r="M91" s="24">
        <v>57</v>
      </c>
      <c r="N91" s="24">
        <v>55</v>
      </c>
      <c r="O91" s="24">
        <v>55</v>
      </c>
      <c r="P91" s="24">
        <v>0</v>
      </c>
      <c r="Q91" s="24">
        <v>0</v>
      </c>
      <c r="R91" s="24">
        <v>53</v>
      </c>
      <c r="S91" s="24">
        <v>50</v>
      </c>
      <c r="T91" s="24">
        <v>25</v>
      </c>
      <c r="U91" s="24">
        <v>31</v>
      </c>
      <c r="V91" s="24">
        <v>1</v>
      </c>
      <c r="W91" s="24">
        <v>18</v>
      </c>
      <c r="X91" s="24">
        <v>11</v>
      </c>
      <c r="Y91" s="24">
        <v>28</v>
      </c>
      <c r="Z91" s="24">
        <v>56</v>
      </c>
      <c r="AA91" s="24">
        <v>28</v>
      </c>
      <c r="AB91" s="24">
        <v>1</v>
      </c>
      <c r="AC91" s="24">
        <v>34</v>
      </c>
      <c r="AD91" s="24">
        <v>22</v>
      </c>
      <c r="AE91" s="24">
        <v>56</v>
      </c>
      <c r="AF91" s="24">
        <v>1</v>
      </c>
      <c r="AG91" s="24">
        <v>57</v>
      </c>
      <c r="AH91" s="24">
        <v>57</v>
      </c>
      <c r="AI91" s="24">
        <v>57</v>
      </c>
      <c r="AJ91" s="24">
        <v>1828</v>
      </c>
      <c r="AK91" s="24">
        <v>1587</v>
      </c>
      <c r="AL91" s="24">
        <v>10</v>
      </c>
      <c r="AM91" s="24">
        <v>4</v>
      </c>
      <c r="AN91" s="24">
        <v>0</v>
      </c>
      <c r="AO91" s="24">
        <v>53</v>
      </c>
      <c r="AP91" s="24">
        <v>51</v>
      </c>
      <c r="AQ91" s="24">
        <v>53</v>
      </c>
      <c r="AR91" s="24">
        <v>14</v>
      </c>
      <c r="AS91" s="24">
        <v>20</v>
      </c>
      <c r="AT91" s="24">
        <v>17</v>
      </c>
      <c r="AU91" s="24">
        <v>39</v>
      </c>
      <c r="AV91" s="24">
        <v>1</v>
      </c>
      <c r="AW91" s="24">
        <v>0</v>
      </c>
      <c r="AX91" s="24">
        <v>0</v>
      </c>
      <c r="AY91" s="24">
        <v>0</v>
      </c>
      <c r="AZ91" s="24">
        <v>0</v>
      </c>
      <c r="BA91" s="24">
        <v>0</v>
      </c>
      <c r="BB91" s="24">
        <v>40</v>
      </c>
      <c r="BC91" s="27"/>
      <c r="BD91" s="28"/>
      <c r="BE91" s="28"/>
      <c r="BF91" s="28"/>
      <c r="BG91" s="26">
        <f t="shared" si="299"/>
        <v>96.666666666666671</v>
      </c>
      <c r="BH91" s="26">
        <f t="shared" si="300"/>
        <v>3.3333333333333335</v>
      </c>
      <c r="BI91" s="26">
        <f t="shared" si="301"/>
        <v>100</v>
      </c>
      <c r="BJ91" s="26">
        <f t="shared" si="302"/>
        <v>0</v>
      </c>
      <c r="BK91" s="26">
        <f t="shared" si="303"/>
        <v>0</v>
      </c>
      <c r="BL91" s="26">
        <f t="shared" si="304"/>
        <v>0</v>
      </c>
      <c r="BM91" s="26">
        <f t="shared" si="305"/>
        <v>80.701754385964918</v>
      </c>
      <c r="BN91" s="26">
        <f t="shared" si="306"/>
        <v>100</v>
      </c>
      <c r="BO91" s="30">
        <f t="shared" si="307"/>
        <v>96.491228070175438</v>
      </c>
      <c r="BP91" s="26">
        <f t="shared" si="308"/>
        <v>96.491228070175438</v>
      </c>
      <c r="BQ91" s="26">
        <f t="shared" si="309"/>
        <v>0</v>
      </c>
      <c r="BR91" s="26">
        <f t="shared" si="310"/>
        <v>92.982456140350877</v>
      </c>
      <c r="BS91" s="26">
        <f t="shared" si="311"/>
        <v>87.719298245614041</v>
      </c>
      <c r="BT91" s="29">
        <f t="shared" si="312"/>
        <v>43.859649122807021</v>
      </c>
      <c r="BU91" s="29">
        <f t="shared" si="313"/>
        <v>54.385964912280699</v>
      </c>
      <c r="BV91" s="29">
        <f t="shared" si="314"/>
        <v>1.7543859649122806</v>
      </c>
      <c r="BW91" s="29">
        <f t="shared" si="315"/>
        <v>31.578947368421051</v>
      </c>
      <c r="BX91" s="29">
        <f t="shared" si="316"/>
        <v>19.298245614035089</v>
      </c>
      <c r="BY91" s="29">
        <f t="shared" si="317"/>
        <v>49.122807017543863</v>
      </c>
      <c r="BZ91" s="29">
        <f t="shared" si="318"/>
        <v>98.245614035087726</v>
      </c>
      <c r="CA91" s="29">
        <f t="shared" si="319"/>
        <v>49.122807017543863</v>
      </c>
      <c r="CB91" s="29">
        <f t="shared" si="320"/>
        <v>1.7543859649122806</v>
      </c>
      <c r="CC91" s="29">
        <f t="shared" si="321"/>
        <v>59.649122807017541</v>
      </c>
      <c r="CD91" s="29">
        <f t="shared" si="322"/>
        <v>38.596491228070178</v>
      </c>
      <c r="CE91" s="29">
        <f t="shared" si="323"/>
        <v>98.245614035087726</v>
      </c>
      <c r="CF91" s="29">
        <f t="shared" si="324"/>
        <v>1.7543859649122806</v>
      </c>
      <c r="CG91" s="29">
        <f t="shared" si="325"/>
        <v>100</v>
      </c>
      <c r="CH91" s="29">
        <f t="shared" si="326"/>
        <v>100</v>
      </c>
      <c r="CI91" s="29">
        <f t="shared" si="327"/>
        <v>100</v>
      </c>
      <c r="CJ91" s="29">
        <f t="shared" si="328"/>
        <v>86.816192560175054</v>
      </c>
      <c r="CK91" s="29">
        <f t="shared" si="329"/>
        <v>0.54704595185995619</v>
      </c>
      <c r="CL91" s="29">
        <f t="shared" si="330"/>
        <v>7.0175438596491224</v>
      </c>
      <c r="CM91" s="29"/>
      <c r="CN91" s="29">
        <f t="shared" si="331"/>
        <v>92.982456140350877</v>
      </c>
      <c r="CO91" s="26">
        <f t="shared" si="332"/>
        <v>89.473684210526315</v>
      </c>
      <c r="CP91" s="26">
        <f t="shared" si="333"/>
        <v>92.982456140350877</v>
      </c>
      <c r="CQ91" s="29">
        <f t="shared" si="334"/>
        <v>41.176470588235297</v>
      </c>
      <c r="CR91" s="29">
        <f t="shared" si="335"/>
        <v>29.82456140350877</v>
      </c>
      <c r="CS91" s="29">
        <f t="shared" si="336"/>
        <v>70.175438596491233</v>
      </c>
    </row>
    <row r="92" spans="1:97">
      <c r="A92" s="31" t="s">
        <v>250</v>
      </c>
      <c r="B92" s="32" t="s">
        <v>251</v>
      </c>
      <c r="C92" s="31"/>
      <c r="D92" s="32">
        <f>D91+D88+D85+D83+D78+D64+D61+D57+D55+D53+D40+D35+D33+D30+D28+D25+D22+D20+D12+D10+D8</f>
        <v>2202</v>
      </c>
      <c r="E92" s="32">
        <f t="shared" ref="E92:BB92" si="337">E91+E88+E85+E83+E78+E64+E61+E57+E55+E53+E40+E35+E33+E30+E28+E25+E22+E20+E12+E10+E8</f>
        <v>2044</v>
      </c>
      <c r="F92" s="32">
        <f t="shared" si="337"/>
        <v>158</v>
      </c>
      <c r="G92" s="32">
        <f t="shared" si="337"/>
        <v>88</v>
      </c>
      <c r="H92" s="32">
        <f t="shared" si="337"/>
        <v>2</v>
      </c>
      <c r="I92" s="32">
        <f t="shared" si="337"/>
        <v>3</v>
      </c>
      <c r="J92" s="32">
        <f t="shared" si="337"/>
        <v>65</v>
      </c>
      <c r="K92" s="32">
        <f t="shared" si="337"/>
        <v>1976</v>
      </c>
      <c r="L92" s="32">
        <f t="shared" si="337"/>
        <v>1332</v>
      </c>
      <c r="M92" s="32">
        <f t="shared" si="337"/>
        <v>1940</v>
      </c>
      <c r="N92" s="32">
        <f t="shared" si="337"/>
        <v>1969</v>
      </c>
      <c r="O92" s="32">
        <f t="shared" si="337"/>
        <v>1923</v>
      </c>
      <c r="P92" s="32">
        <f t="shared" si="337"/>
        <v>0</v>
      </c>
      <c r="Q92" s="32">
        <f t="shared" si="337"/>
        <v>0</v>
      </c>
      <c r="R92" s="32">
        <f t="shared" si="337"/>
        <v>1782</v>
      </c>
      <c r="S92" s="32">
        <f t="shared" si="337"/>
        <v>1555</v>
      </c>
      <c r="T92" s="32">
        <f t="shared" si="337"/>
        <v>501</v>
      </c>
      <c r="U92" s="32">
        <f t="shared" si="337"/>
        <v>1413</v>
      </c>
      <c r="V92" s="32">
        <f t="shared" si="337"/>
        <v>62</v>
      </c>
      <c r="W92" s="32">
        <f t="shared" si="337"/>
        <v>926</v>
      </c>
      <c r="X92" s="32">
        <f t="shared" si="337"/>
        <v>807</v>
      </c>
      <c r="Y92" s="32">
        <f t="shared" si="337"/>
        <v>551</v>
      </c>
      <c r="Z92" s="32">
        <f t="shared" si="337"/>
        <v>1963</v>
      </c>
      <c r="AA92" s="32">
        <f t="shared" si="337"/>
        <v>1412</v>
      </c>
      <c r="AB92" s="32">
        <f t="shared" si="337"/>
        <v>13</v>
      </c>
      <c r="AC92" s="32">
        <f t="shared" si="337"/>
        <v>625</v>
      </c>
      <c r="AD92" s="32">
        <f t="shared" si="337"/>
        <v>1325</v>
      </c>
      <c r="AE92" s="32">
        <f t="shared" si="337"/>
        <v>1950</v>
      </c>
      <c r="AF92" s="32">
        <f t="shared" si="337"/>
        <v>26</v>
      </c>
      <c r="AG92" s="32">
        <f t="shared" si="337"/>
        <v>1974</v>
      </c>
      <c r="AH92" s="32">
        <f t="shared" si="337"/>
        <v>1974</v>
      </c>
      <c r="AI92" s="32">
        <f t="shared" si="337"/>
        <v>1972</v>
      </c>
      <c r="AJ92" s="32">
        <f t="shared" si="337"/>
        <v>212807</v>
      </c>
      <c r="AK92" s="32">
        <f t="shared" si="337"/>
        <v>115611</v>
      </c>
      <c r="AL92" s="32">
        <f t="shared" si="337"/>
        <v>15694</v>
      </c>
      <c r="AM92" s="32">
        <f t="shared" si="337"/>
        <v>1157</v>
      </c>
      <c r="AN92" s="32">
        <f t="shared" si="337"/>
        <v>54</v>
      </c>
      <c r="AO92" s="32">
        <f t="shared" si="337"/>
        <v>1708</v>
      </c>
      <c r="AP92" s="32">
        <f t="shared" si="337"/>
        <v>1427</v>
      </c>
      <c r="AQ92" s="32">
        <f t="shared" si="337"/>
        <v>1708</v>
      </c>
      <c r="AR92" s="32">
        <f t="shared" si="337"/>
        <v>1364</v>
      </c>
      <c r="AS92" s="32">
        <f t="shared" si="337"/>
        <v>457</v>
      </c>
      <c r="AT92" s="32">
        <f t="shared" si="337"/>
        <v>343</v>
      </c>
      <c r="AU92" s="32">
        <f t="shared" si="337"/>
        <v>583</v>
      </c>
      <c r="AV92" s="32">
        <f t="shared" si="337"/>
        <v>386</v>
      </c>
      <c r="AW92" s="32">
        <f t="shared" si="337"/>
        <v>285</v>
      </c>
      <c r="AX92" s="32">
        <f t="shared" si="337"/>
        <v>155</v>
      </c>
      <c r="AY92" s="32">
        <f t="shared" si="337"/>
        <v>81</v>
      </c>
      <c r="AZ92" s="32">
        <f t="shared" si="337"/>
        <v>67</v>
      </c>
      <c r="BA92" s="32">
        <f t="shared" si="337"/>
        <v>69</v>
      </c>
      <c r="BB92" s="32">
        <f t="shared" si="337"/>
        <v>1633</v>
      </c>
      <c r="BC92" s="33"/>
      <c r="BD92" s="34"/>
      <c r="BE92" s="34"/>
      <c r="BF92" s="34"/>
      <c r="BG92" s="35">
        <f t="shared" ref="BG92" si="338">E92*100/D92</f>
        <v>92.824704813805624</v>
      </c>
      <c r="BH92" s="35">
        <f t="shared" ref="BH92" si="339">F92*100/D92</f>
        <v>7.1752951861943686</v>
      </c>
      <c r="BI92" s="35">
        <f t="shared" ref="BI92" si="340">G92*100/F92</f>
        <v>55.696202531645568</v>
      </c>
      <c r="BJ92" s="35">
        <f t="shared" ref="BJ92" si="341">H92*100/F92</f>
        <v>1.2658227848101267</v>
      </c>
      <c r="BK92" s="35">
        <f t="shared" ref="BK92" si="342">I92*100/F92</f>
        <v>1.8987341772151898</v>
      </c>
      <c r="BL92" s="35">
        <f t="shared" ref="BL92" si="343">J92*100/F92</f>
        <v>41.139240506329116</v>
      </c>
      <c r="BM92" s="35">
        <f t="shared" ref="BM92" si="344">L92*100/$K92</f>
        <v>67.408906882591097</v>
      </c>
      <c r="BN92" s="35">
        <f t="shared" ref="BN92" si="345">M92*100/$K92</f>
        <v>98.178137651821856</v>
      </c>
      <c r="BO92" s="36">
        <f t="shared" ref="BO92" si="346">N92*100/$K92</f>
        <v>99.645748987854248</v>
      </c>
      <c r="BP92" s="35">
        <f t="shared" ref="BP92" si="347">O92*100/$K92</f>
        <v>97.31781376518218</v>
      </c>
      <c r="BQ92" s="35">
        <f t="shared" ref="BQ92" si="348">Q92*100/$K92</f>
        <v>0</v>
      </c>
      <c r="BR92" s="35">
        <f t="shared" ref="BR92" si="349">R92*100/$K92</f>
        <v>90.18218623481782</v>
      </c>
      <c r="BS92" s="35">
        <f t="shared" ref="BS92" si="350">S92*100/$K92</f>
        <v>78.694331983805668</v>
      </c>
      <c r="BT92" s="37">
        <f t="shared" ref="BT92" si="351">T92*100/$K92</f>
        <v>25.354251012145749</v>
      </c>
      <c r="BU92" s="37">
        <f t="shared" ref="BU92" si="352">U92*100/$K92</f>
        <v>71.508097165991899</v>
      </c>
      <c r="BV92" s="37">
        <f t="shared" ref="BV92" si="353">V92*100/$K92</f>
        <v>3.1376518218623484</v>
      </c>
      <c r="BW92" s="37">
        <f t="shared" ref="BW92" si="354">W92*100/$K92</f>
        <v>46.862348178137651</v>
      </c>
      <c r="BX92" s="37">
        <f t="shared" ref="BX92" si="355">X92*100/$K92</f>
        <v>40.840080971659916</v>
      </c>
      <c r="BY92" s="37">
        <f t="shared" ref="BY92" si="356">Y92*100/$K92</f>
        <v>27.884615384615383</v>
      </c>
      <c r="BZ92" s="37">
        <f t="shared" ref="BZ92" si="357">Z92*100/$K92</f>
        <v>99.34210526315789</v>
      </c>
      <c r="CA92" s="37">
        <f t="shared" ref="CA92" si="358">AA92*100/$K92</f>
        <v>71.457489878542503</v>
      </c>
      <c r="CB92" s="37">
        <f t="shared" ref="CB92" si="359">AB92*100/$K92</f>
        <v>0.65789473684210531</v>
      </c>
      <c r="CC92" s="37">
        <f t="shared" ref="CC92" si="360">AC92*100/$K92</f>
        <v>31.629554655870447</v>
      </c>
      <c r="CD92" s="37">
        <f t="shared" ref="CD92" si="361">AD92*100/$K92</f>
        <v>67.054655870445345</v>
      </c>
      <c r="CE92" s="37">
        <f t="shared" ref="CE92" si="362">AE92*100/$K92</f>
        <v>98.684210526315795</v>
      </c>
      <c r="CF92" s="37">
        <f t="shared" ref="CF92" si="363">AF92*100/$K92</f>
        <v>1.3157894736842106</v>
      </c>
      <c r="CG92" s="37">
        <f t="shared" ref="CG92" si="364">AG92*100/$K92</f>
        <v>99.89878542510121</v>
      </c>
      <c r="CH92" s="37">
        <f t="shared" ref="CH92" si="365">AH92*100/$K92</f>
        <v>99.89878542510121</v>
      </c>
      <c r="CI92" s="37">
        <f t="shared" ref="CI92" si="366">AI92*100/$K92</f>
        <v>99.797570850202433</v>
      </c>
      <c r="CJ92" s="37">
        <f t="shared" ref="CJ92" si="367">AK92*100/AJ92</f>
        <v>54.326690381425422</v>
      </c>
      <c r="CK92" s="37">
        <f t="shared" ref="CK92" si="368">AL92*100/AJ92</f>
        <v>7.3747574092957464</v>
      </c>
      <c r="CL92" s="37">
        <f t="shared" ref="CL92" si="369">AM92*100/$K92</f>
        <v>58.55263157894737</v>
      </c>
      <c r="CM92" s="37"/>
      <c r="CN92" s="37">
        <f t="shared" ref="CN92" si="370">AO92*100/$K92</f>
        <v>86.437246963562757</v>
      </c>
      <c r="CO92" s="37">
        <f t="shared" ref="CO92" si="371">AP92*100/$K92</f>
        <v>72.216599190283404</v>
      </c>
      <c r="CP92" s="37">
        <f t="shared" ref="CP92" si="372">AQ92*100/$K92</f>
        <v>86.437246963562757</v>
      </c>
      <c r="CQ92" s="37">
        <f t="shared" ref="CQ92" si="373">AR92*100/(AR92+AS92)</f>
        <v>74.90389895661724</v>
      </c>
      <c r="CR92" s="37">
        <f t="shared" ref="CR92" si="374">AT92*100/$K92</f>
        <v>17.358299595141702</v>
      </c>
      <c r="CS92" s="37">
        <f t="shared" ref="CS92" si="375">BB92*100/$K92</f>
        <v>82.641700404858298</v>
      </c>
    </row>
    <row r="94" spans="1:97">
      <c r="D94" s="45">
        <v>2170</v>
      </c>
      <c r="E94" s="45">
        <v>2013</v>
      </c>
      <c r="F94" s="45">
        <v>157</v>
      </c>
      <c r="G94" s="45">
        <v>88</v>
      </c>
      <c r="H94" s="45">
        <v>2</v>
      </c>
      <c r="I94" s="45">
        <v>3</v>
      </c>
      <c r="J94" s="45">
        <v>64</v>
      </c>
      <c r="K94" s="45">
        <v>1945</v>
      </c>
      <c r="L94" s="45">
        <v>1332</v>
      </c>
      <c r="M94" s="45">
        <v>1910</v>
      </c>
      <c r="N94" s="45">
        <v>1938</v>
      </c>
      <c r="O94" s="45">
        <v>1892</v>
      </c>
      <c r="P94" s="45">
        <v>0</v>
      </c>
      <c r="Q94" s="45">
        <v>0</v>
      </c>
      <c r="R94" s="45">
        <v>1751</v>
      </c>
      <c r="S94" s="45">
        <v>1553</v>
      </c>
      <c r="T94" s="45">
        <v>501</v>
      </c>
      <c r="U94" s="45">
        <v>1397</v>
      </c>
      <c r="V94" s="45">
        <v>47</v>
      </c>
      <c r="W94" s="45">
        <v>905</v>
      </c>
      <c r="X94" s="45">
        <v>798</v>
      </c>
      <c r="Y94" s="45">
        <v>549</v>
      </c>
      <c r="Z94" s="45">
        <v>1932</v>
      </c>
      <c r="AA94" s="45">
        <v>1383</v>
      </c>
      <c r="AB94" s="45">
        <v>13</v>
      </c>
      <c r="AC94" s="45">
        <v>625</v>
      </c>
      <c r="AD94" s="45">
        <v>1294</v>
      </c>
      <c r="AE94" s="45">
        <v>1919</v>
      </c>
      <c r="AF94" s="45">
        <v>26</v>
      </c>
      <c r="AG94" s="45">
        <v>1943</v>
      </c>
      <c r="AH94" s="45">
        <v>1943</v>
      </c>
      <c r="AI94" s="45">
        <v>1941</v>
      </c>
      <c r="AJ94" s="45">
        <v>211647</v>
      </c>
      <c r="AK94" s="45">
        <v>115074</v>
      </c>
      <c r="AL94" s="45">
        <v>15557</v>
      </c>
      <c r="AM94" s="45">
        <v>1140</v>
      </c>
      <c r="AN94" s="45">
        <v>54</v>
      </c>
      <c r="AO94" s="45">
        <v>1677</v>
      </c>
      <c r="AP94" s="45">
        <v>1411</v>
      </c>
      <c r="AQ94" s="45">
        <v>1677</v>
      </c>
      <c r="AR94" s="45">
        <v>1337</v>
      </c>
      <c r="AS94" s="45">
        <v>453</v>
      </c>
      <c r="AT94" s="45">
        <v>342</v>
      </c>
      <c r="AU94" s="45">
        <v>582</v>
      </c>
      <c r="AV94" s="45">
        <v>384</v>
      </c>
      <c r="AW94" s="45">
        <v>283</v>
      </c>
      <c r="AX94" s="45">
        <v>147</v>
      </c>
      <c r="AY94" s="45">
        <v>74</v>
      </c>
      <c r="AZ94" s="45">
        <v>61</v>
      </c>
      <c r="BA94" s="45">
        <v>65</v>
      </c>
      <c r="BB94" s="45">
        <v>1603</v>
      </c>
      <c r="BC94" s="45"/>
      <c r="BD94" s="45"/>
      <c r="BE94" s="45"/>
      <c r="BF94" s="45"/>
      <c r="BG94" s="45">
        <v>92.764976958525352</v>
      </c>
      <c r="BH94" s="45">
        <v>7.2350230414746548</v>
      </c>
      <c r="BI94" s="45">
        <v>56.050955414012741</v>
      </c>
      <c r="BJ94" s="45">
        <v>1.2738853503184713</v>
      </c>
      <c r="BK94" s="45">
        <v>1.910828025477707</v>
      </c>
      <c r="BL94" s="45">
        <v>40.764331210191081</v>
      </c>
      <c r="BM94" s="45">
        <v>68.483290488431876</v>
      </c>
      <c r="BN94" s="45">
        <v>98.200514138817482</v>
      </c>
      <c r="BO94" s="45">
        <v>99.640102827763499</v>
      </c>
      <c r="BP94" s="45">
        <v>97.275064267352178</v>
      </c>
      <c r="BQ94" s="45">
        <v>0</v>
      </c>
      <c r="BR94" s="45">
        <v>90.025706940874031</v>
      </c>
      <c r="BS94" s="45">
        <v>79.845758354755787</v>
      </c>
      <c r="BT94" s="45">
        <v>25.758354755784062</v>
      </c>
      <c r="BU94" s="45">
        <v>71.825192802056549</v>
      </c>
      <c r="BV94" s="45">
        <v>2.4164524421593829</v>
      </c>
      <c r="BW94" s="45">
        <v>46.529562982005139</v>
      </c>
      <c r="BX94" s="45">
        <v>41.028277634961441</v>
      </c>
      <c r="BY94" s="45">
        <v>28.226221079691516</v>
      </c>
      <c r="BZ94" s="45">
        <v>99.33161953727506</v>
      </c>
      <c r="CA94" s="45">
        <v>71.105398457583547</v>
      </c>
      <c r="CB94" s="45">
        <v>0.66838046272493579</v>
      </c>
      <c r="CC94" s="45">
        <v>32.133676092544988</v>
      </c>
      <c r="CD94" s="45">
        <v>66.529562982005146</v>
      </c>
      <c r="CE94" s="45">
        <v>98.663239074550134</v>
      </c>
      <c r="CF94" s="45">
        <v>1.3367609254498716</v>
      </c>
      <c r="CG94" s="45">
        <v>99.897172236503863</v>
      </c>
      <c r="CH94" s="45">
        <v>99.897172236503863</v>
      </c>
      <c r="CI94" s="45">
        <v>99.794344473007712</v>
      </c>
      <c r="CJ94" s="45">
        <v>54.370721059122026</v>
      </c>
      <c r="CK94" s="45">
        <v>7.3504467344209932</v>
      </c>
      <c r="CL94" s="45">
        <v>58.611825192802058</v>
      </c>
      <c r="CM94" s="45"/>
      <c r="CN94" s="45">
        <v>86.221079691516707</v>
      </c>
      <c r="CO94" s="45">
        <v>72.544987146529564</v>
      </c>
      <c r="CP94" s="45">
        <v>86.221079691516707</v>
      </c>
      <c r="CQ94" s="45">
        <v>74.692737430167597</v>
      </c>
      <c r="CR94" s="45">
        <v>17.583547557840618</v>
      </c>
      <c r="CS94" s="45">
        <v>82.416452442159382</v>
      </c>
    </row>
    <row r="96" spans="1:97">
      <c r="D96" s="45">
        <v>356</v>
      </c>
      <c r="E96" s="45">
        <v>342</v>
      </c>
      <c r="F96" s="45">
        <v>14</v>
      </c>
      <c r="G96" s="45">
        <v>5</v>
      </c>
      <c r="H96" s="45">
        <v>0</v>
      </c>
      <c r="I96" s="45">
        <v>1</v>
      </c>
      <c r="J96" s="45">
        <v>8</v>
      </c>
      <c r="K96" s="45">
        <v>336</v>
      </c>
      <c r="L96" s="45">
        <v>27</v>
      </c>
      <c r="M96" s="45">
        <v>331</v>
      </c>
      <c r="N96" s="45">
        <v>336</v>
      </c>
      <c r="O96" s="45">
        <v>335</v>
      </c>
      <c r="P96" s="45">
        <v>0</v>
      </c>
      <c r="Q96" s="45">
        <v>0</v>
      </c>
      <c r="R96" s="45">
        <v>316</v>
      </c>
      <c r="S96" s="45">
        <v>273</v>
      </c>
      <c r="T96" s="45">
        <v>44</v>
      </c>
      <c r="U96" s="45">
        <v>270</v>
      </c>
      <c r="V96" s="45">
        <v>22</v>
      </c>
      <c r="W96" s="45">
        <v>257</v>
      </c>
      <c r="X96" s="45">
        <v>218</v>
      </c>
      <c r="Y96" s="45">
        <v>28</v>
      </c>
      <c r="Z96" s="45">
        <v>333</v>
      </c>
      <c r="AA96" s="45">
        <v>305</v>
      </c>
      <c r="AB96" s="45">
        <v>3</v>
      </c>
      <c r="AC96" s="45">
        <v>90</v>
      </c>
      <c r="AD96" s="45">
        <v>240</v>
      </c>
      <c r="AE96" s="45">
        <v>330</v>
      </c>
      <c r="AF96" s="45">
        <v>6</v>
      </c>
      <c r="AG96" s="45">
        <v>336</v>
      </c>
      <c r="AH96" s="45">
        <v>335</v>
      </c>
      <c r="AI96" s="45">
        <v>336</v>
      </c>
      <c r="AJ96" s="45">
        <v>24536</v>
      </c>
      <c r="AK96" s="45">
        <v>11243</v>
      </c>
      <c r="AL96" s="45">
        <v>3270</v>
      </c>
      <c r="AM96" s="45">
        <v>209</v>
      </c>
      <c r="AN96" s="45">
        <v>8</v>
      </c>
      <c r="AO96" s="45">
        <v>303</v>
      </c>
      <c r="AP96" s="45">
        <v>256</v>
      </c>
      <c r="AQ96" s="45">
        <v>303</v>
      </c>
      <c r="AR96" s="45">
        <v>167</v>
      </c>
      <c r="AS96" s="45">
        <v>145</v>
      </c>
      <c r="AT96" s="45">
        <v>49</v>
      </c>
      <c r="AU96" s="45">
        <v>124</v>
      </c>
      <c r="AV96" s="45">
        <v>68</v>
      </c>
      <c r="AW96" s="45">
        <v>59</v>
      </c>
      <c r="AX96" s="45">
        <v>33</v>
      </c>
      <c r="AY96" s="45">
        <v>3</v>
      </c>
      <c r="AZ96" s="45">
        <v>0</v>
      </c>
      <c r="BA96" s="45">
        <v>0</v>
      </c>
      <c r="BB96" s="45">
        <v>287</v>
      </c>
      <c r="BC96" s="45"/>
      <c r="BD96" s="45"/>
      <c r="BE96" s="45"/>
      <c r="BF96" s="45"/>
      <c r="BG96" s="45">
        <v>96.067415730337075</v>
      </c>
      <c r="BH96" s="45">
        <v>3.9325842696629212</v>
      </c>
      <c r="BI96" s="45">
        <v>35.714285714285715</v>
      </c>
      <c r="BJ96" s="45">
        <v>0</v>
      </c>
      <c r="BK96" s="45">
        <v>7.1428571428571432</v>
      </c>
      <c r="BL96" s="45">
        <v>57.142857142857146</v>
      </c>
      <c r="BM96" s="45">
        <v>8.0357142857142865</v>
      </c>
      <c r="BN96" s="45">
        <v>98.511904761904759</v>
      </c>
      <c r="BO96" s="45">
        <v>100</v>
      </c>
      <c r="BP96" s="45">
        <v>99.702380952380949</v>
      </c>
      <c r="BQ96" s="45">
        <v>0</v>
      </c>
      <c r="BR96" s="45">
        <v>94.047619047619051</v>
      </c>
      <c r="BS96" s="45">
        <v>81.25</v>
      </c>
      <c r="BT96" s="45">
        <v>13.095238095238095</v>
      </c>
      <c r="BU96" s="45">
        <v>80.357142857142861</v>
      </c>
      <c r="BV96" s="45">
        <v>6.5476190476190474</v>
      </c>
      <c r="BW96" s="45">
        <v>76.488095238095241</v>
      </c>
      <c r="BX96" s="45">
        <v>64.88095238095238</v>
      </c>
      <c r="BY96" s="45">
        <v>8.3333333333333339</v>
      </c>
      <c r="BZ96" s="45">
        <v>99.107142857142861</v>
      </c>
      <c r="CA96" s="45">
        <v>90.773809523809518</v>
      </c>
      <c r="CB96" s="45">
        <v>0.8928571428571429</v>
      </c>
      <c r="CC96" s="45">
        <v>26.785714285714285</v>
      </c>
      <c r="CD96" s="45">
        <v>71.428571428571431</v>
      </c>
      <c r="CE96" s="45">
        <v>98.214285714285708</v>
      </c>
      <c r="CF96" s="45">
        <v>1.7857142857142858</v>
      </c>
      <c r="CG96" s="45">
        <v>100</v>
      </c>
      <c r="CH96" s="45">
        <v>99.702380952380949</v>
      </c>
      <c r="CI96" s="45">
        <v>100</v>
      </c>
      <c r="CJ96" s="45">
        <v>45.822464949462017</v>
      </c>
      <c r="CK96" s="45">
        <v>13.327355722204109</v>
      </c>
      <c r="CL96" s="45">
        <v>62.202380952380949</v>
      </c>
      <c r="CM96" s="45"/>
      <c r="CN96" s="45">
        <v>90.178571428571431</v>
      </c>
      <c r="CO96" s="45">
        <v>76.19047619047619</v>
      </c>
      <c r="CP96" s="45">
        <v>90.178571428571431</v>
      </c>
      <c r="CQ96" s="45">
        <v>53.525641025641029</v>
      </c>
      <c r="CR96" s="45">
        <v>14.583333333333334</v>
      </c>
      <c r="CS96" s="45">
        <v>85.416666666666671</v>
      </c>
    </row>
  </sheetData>
  <autoFilter ref="A6:CS92" xr:uid="{00000000-0001-0000-0000-000000000000}"/>
  <conditionalFormatting sqref="BG7:CS92">
    <cfRule type="containsErrors" dxfId="0" priority="1">
      <formula>ISERROR(BG7)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0866-0CFE-47E2-A778-220C5B999CE9}">
  <dimension ref="B3:C30"/>
  <sheetViews>
    <sheetView zoomScaleNormal="100" workbookViewId="0">
      <selection activeCell="D19" sqref="D19"/>
    </sheetView>
  </sheetViews>
  <sheetFormatPr defaultRowHeight="15"/>
  <cols>
    <col min="2" max="2" width="23.28515625" customWidth="1"/>
  </cols>
  <sheetData>
    <row r="3" spans="2:3">
      <c r="B3" t="s">
        <v>164</v>
      </c>
      <c r="C3" s="11">
        <v>25</v>
      </c>
    </row>
    <row r="4" spans="2:3">
      <c r="B4" t="s">
        <v>249</v>
      </c>
      <c r="C4" s="11">
        <v>41.176470588235297</v>
      </c>
    </row>
    <row r="5" spans="2:3">
      <c r="B5" t="s">
        <v>149</v>
      </c>
      <c r="C5" s="11">
        <v>53.333333333333336</v>
      </c>
    </row>
    <row r="6" spans="2:3">
      <c r="B6" t="s">
        <v>232</v>
      </c>
      <c r="C6" s="11">
        <v>53.846153846153847</v>
      </c>
    </row>
    <row r="7" spans="2:3">
      <c r="B7" t="s">
        <v>146</v>
      </c>
      <c r="C7" s="11">
        <v>54.545454545454547</v>
      </c>
    </row>
    <row r="8" spans="2:3">
      <c r="B8" t="s">
        <v>245</v>
      </c>
      <c r="C8" s="11">
        <v>59.183673469387756</v>
      </c>
    </row>
    <row r="9" spans="2:3">
      <c r="B9" t="s">
        <v>179</v>
      </c>
      <c r="C9" s="11">
        <v>63.636363636363633</v>
      </c>
    </row>
    <row r="10" spans="2:3">
      <c r="B10" t="s">
        <v>213</v>
      </c>
      <c r="C10" s="11">
        <v>70.786516853932582</v>
      </c>
    </row>
    <row r="11" spans="2:3">
      <c r="B11" t="s">
        <v>202</v>
      </c>
      <c r="C11" s="11">
        <v>77.352941176470594</v>
      </c>
    </row>
    <row r="12" spans="2:3">
      <c r="B12" t="s">
        <v>172</v>
      </c>
      <c r="C12" s="11">
        <v>80.263157894736835</v>
      </c>
    </row>
    <row r="13" spans="2:3">
      <c r="B13" t="s">
        <v>152</v>
      </c>
      <c r="C13" s="11">
        <v>81.578947368421055</v>
      </c>
    </row>
    <row r="14" spans="2:3">
      <c r="B14" t="s">
        <v>182</v>
      </c>
      <c r="C14" s="11">
        <v>82.926829268292678</v>
      </c>
    </row>
    <row r="15" spans="2:3">
      <c r="B15" t="s">
        <v>188</v>
      </c>
      <c r="C15" s="11">
        <v>83.333333333333329</v>
      </c>
    </row>
    <row r="16" spans="2:3">
      <c r="B16" t="s">
        <v>168</v>
      </c>
      <c r="C16" s="11">
        <v>84.848484848484844</v>
      </c>
    </row>
    <row r="17" spans="2:3">
      <c r="B17" t="s">
        <v>161</v>
      </c>
      <c r="C17" s="11">
        <v>89.473684210526315</v>
      </c>
    </row>
    <row r="18" spans="2:3">
      <c r="B18" t="s">
        <v>238</v>
      </c>
      <c r="C18" s="11">
        <v>89.84375</v>
      </c>
    </row>
    <row r="19" spans="2:3">
      <c r="B19" t="s">
        <v>208</v>
      </c>
      <c r="C19" s="11">
        <v>91.304347826086953</v>
      </c>
    </row>
    <row r="20" spans="2:3">
      <c r="B20" t="s">
        <v>175</v>
      </c>
      <c r="C20" s="11">
        <v>96.875</v>
      </c>
    </row>
    <row r="21" spans="2:3">
      <c r="B21" t="s">
        <v>205</v>
      </c>
      <c r="C21" s="11">
        <v>100</v>
      </c>
    </row>
    <row r="22" spans="2:3">
      <c r="B22" t="s">
        <v>217</v>
      </c>
      <c r="C22" s="11">
        <v>100</v>
      </c>
    </row>
    <row r="23" spans="2:3">
      <c r="B23" t="s">
        <v>241</v>
      </c>
      <c r="C23" s="11">
        <v>100</v>
      </c>
    </row>
    <row r="24" spans="2:3">
      <c r="C24" s="11"/>
    </row>
    <row r="25" spans="2:3">
      <c r="C25" s="11"/>
    </row>
    <row r="26" spans="2:3">
      <c r="C26" s="11"/>
    </row>
    <row r="27" spans="2:3">
      <c r="C27" s="11"/>
    </row>
    <row r="28" spans="2:3">
      <c r="C28" s="11"/>
    </row>
    <row r="29" spans="2:3">
      <c r="C29" s="11"/>
    </row>
    <row r="30" spans="2:3">
      <c r="C30" s="11"/>
    </row>
  </sheetData>
  <sortState xmlns:xlrd2="http://schemas.microsoft.com/office/spreadsheetml/2017/richdata2" ref="B3:C23">
    <sortCondition ref="C3:C23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SRIVASTAVA, Amit</dc:creator>
  <cp:keywords/>
  <dc:description/>
  <cp:lastModifiedBy>SRIVASTAVA, Amit</cp:lastModifiedBy>
  <cp:revision/>
  <dcterms:created xsi:type="dcterms:W3CDTF">2015-06-05T18:17:20Z</dcterms:created>
  <dcterms:modified xsi:type="dcterms:W3CDTF">2026-10-01T09:46:46Z</dcterms:modified>
  <cp:category/>
  <cp:contentStatus/>
</cp:coreProperties>
</file>